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ichau\Desktop\Oficina\Portfólio\Bootcamp Ciencias de dados - Python 2025\"/>
    </mc:Choice>
  </mc:AlternateContent>
  <xr:revisionPtr revIDLastSave="0" documentId="13_ncr:1_{BF7532F3-85A0-4108-89EA-D3B67F9C8AFC}" xr6:coauthVersionLast="47" xr6:coauthVersionMax="47" xr10:uidLastSave="{00000000-0000-0000-0000-000000000000}"/>
  <bookViews>
    <workbookView xWindow="-120" yWindow="-120" windowWidth="29040" windowHeight="15720" tabRatio="0" firstSheet="3" activeTab="3" xr2:uid="{00000000-000D-0000-FFFF-FFFF00000000}"/>
  </bookViews>
  <sheets>
    <sheet name="ASSETS" sheetId="2" state="hidden" r:id="rId1"/>
    <sheet name="BASE" sheetId="1" state="hidden" r:id="rId2"/>
    <sheet name="CALCULOS" sheetId="3" state="hidden" r:id="rId3"/>
    <sheet name="DASHBOARD" sheetId="4" r:id="rId4"/>
  </sheets>
  <definedNames>
    <definedName name="_xlnm._FilterDatabase" localSheetId="1" hidden="1">BASE!$A$1:$J$1</definedName>
    <definedName name="SegmentaçãodeDados_AddOn_Fortnite">#N/A</definedName>
    <definedName name="SegmentaçãodeDados_AddOn_Ubisoft">#N/A</definedName>
    <definedName name="SegmentaçãodeDados_AutoRenovacao">#N/A</definedName>
    <definedName name="SegmentaçãodeDados_Plano">#N/A</definedName>
  </definedNames>
  <calcPr calcId="191029"/>
  <pivotCaches>
    <pivotCache cacheId="12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" i="1"/>
  <c r="I2" i="1" a="1"/>
  <c r="I2" i="1" s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J94" i="3"/>
  <c r="H94" i="3"/>
  <c r="G94" i="3"/>
  <c r="I9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<sst xmlns="http://schemas.openxmlformats.org/spreadsheetml/2006/main" count="2439" uniqueCount="835">
  <si>
    <t>ID_Assinante</t>
  </si>
  <si>
    <t>Nome</t>
  </si>
  <si>
    <t>Plano</t>
  </si>
  <si>
    <t>Data_Inicio</t>
  </si>
  <si>
    <t>AddOn_Ubisoft</t>
  </si>
  <si>
    <t>AddOn_Fortnite</t>
  </si>
  <si>
    <t>Valor_Plano</t>
  </si>
  <si>
    <t>PS-1001</t>
  </si>
  <si>
    <t>Deluxe</t>
  </si>
  <si>
    <t>Sim</t>
  </si>
  <si>
    <t>Anual</t>
  </si>
  <si>
    <t>PS-1002</t>
  </si>
  <si>
    <t>Beatriz Souza</t>
  </si>
  <si>
    <t>Essential</t>
  </si>
  <si>
    <t>Não</t>
  </si>
  <si>
    <t>Mensal</t>
  </si>
  <si>
    <t>PS-1003</t>
  </si>
  <si>
    <t>Carlos Eduardo</t>
  </si>
  <si>
    <t>Extra</t>
  </si>
  <si>
    <t>Trimestral</t>
  </si>
  <si>
    <t>PS-1004</t>
  </si>
  <si>
    <t>PS-1005</t>
  </si>
  <si>
    <t>João Silva</t>
  </si>
  <si>
    <t>Maria Oliveira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</si>
  <si>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</si>
  <si>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</si>
  <si>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</si>
  <si>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</si>
  <si>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</si>
  <si>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</si>
  <si>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</si>
  <si>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</si>
  <si>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</si>
  <si>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</si>
  <si>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</si>
  <si>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</si>
  <si>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</si>
  <si>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</si>
  <si>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</si>
  <si>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</si>
  <si>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</si>
  <si>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</si>
  <si>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</si>
  <si>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</si>
  <si>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</si>
  <si>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</si>
  <si>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</si>
  <si>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</si>
  <si>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</si>
  <si>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</si>
  <si>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</si>
  <si>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</si>
  <si>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</si>
  <si>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</si>
  <si>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</si>
  <si>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</si>
  <si>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</si>
  <si>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</si>
  <si>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</si>
  <si>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</si>
  <si>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</si>
  <si>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</si>
  <si>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</si>
  <si>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</si>
  <si>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</si>
  <si>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</si>
  <si>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</si>
  <si>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</si>
  <si>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</si>
  <si>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</si>
  <si>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</si>
  <si>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</si>
  <si>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</si>
  <si>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</si>
  <si>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</si>
  <si>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</si>
  <si>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</si>
  <si>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</si>
  <si>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</si>
  <si>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</si>
  <si>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</si>
  <si>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</si>
  <si>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</si>
  <si>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</si>
  <si>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</si>
  <si>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</si>
  <si>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</si>
  <si>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</si>
  <si>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</si>
  <si>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</si>
  <si>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</si>
  <si>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</si>
  <si>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</si>
  <si>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</si>
  <si>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</si>
  <si>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</si>
  <si>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</si>
  <si>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</si>
  <si>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</si>
  <si>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</si>
  <si>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</si>
  <si>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</si>
  <si>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</si>
  <si>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</si>
  <si>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</si>
  <si>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</si>
  <si>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</si>
  <si>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</si>
  <si>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</si>
  <si>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</si>
  <si>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</si>
  <si>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</si>
  <si>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</si>
  <si>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</si>
  <si>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</si>
  <si>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</si>
  <si>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</si>
  <si>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</si>
  <si>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</si>
  <si>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</si>
  <si>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</si>
  <si>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</si>
  <si>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</si>
  <si>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</si>
  <si>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</si>
  <si>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</si>
  <si>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</si>
  <si>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</si>
  <si>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</si>
  <si>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</si>
  <si>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</si>
  <si>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</si>
  <si>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</si>
  <si>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</si>
  <si>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</si>
  <si>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</si>
  <si>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</si>
  <si>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</si>
  <si>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</si>
  <si>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</si>
  <si>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</si>
  <si>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</si>
  <si>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</si>
  <si>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</si>
  <si>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</si>
  <si>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</si>
  <si>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</si>
  <si>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</si>
  <si>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</si>
  <si>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</si>
  <si>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</si>
  <si>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</si>
  <si>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</si>
  <si>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</si>
  <si>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</si>
  <si>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</si>
  <si>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</si>
  <si>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</si>
  <si>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</si>
  <si>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</si>
  <si>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</si>
  <si>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</si>
  <si>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</si>
  <si>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</si>
  <si>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</si>
  <si>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</si>
  <si>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</si>
  <si>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</si>
  <si>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</si>
  <si>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</si>
  <si>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</si>
  <si>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</si>
  <si>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</si>
  <si>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</si>
  <si>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</si>
  <si>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</si>
  <si>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</si>
  <si>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</si>
  <si>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</si>
  <si>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</si>
  <si>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</si>
  <si>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</si>
  <si>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</si>
  <si>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</si>
  <si>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</si>
  <si>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</si>
  <si>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</si>
  <si>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</si>
  <si>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</si>
  <si>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</si>
  <si>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</si>
  <si>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</si>
  <si>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</si>
  <si>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</si>
  <si>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</si>
  <si>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</si>
  <si>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</si>
  <si>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</si>
  <si>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</si>
  <si>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</si>
  <si>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</si>
  <si>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</si>
  <si>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</si>
  <si>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</si>
  <si>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</si>
  <si>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</si>
  <si>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</si>
  <si>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</si>
  <si>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</si>
  <si>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</si>
  <si>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</si>
  <si>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</si>
  <si>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</si>
  <si>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</si>
  <si>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</si>
  <si>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</si>
  <si>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</si>
  <si>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</si>
  <si>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</si>
  <si>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</si>
  <si>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</si>
  <si>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</si>
  <si>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</si>
  <si>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</si>
  <si>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</si>
  <si>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</si>
  <si>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</si>
  <si>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</si>
  <si>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</si>
  <si>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</si>
  <si>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</si>
  <si>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</si>
  <si>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</si>
  <si>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</si>
  <si>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</si>
  <si>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</si>
  <si>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</si>
  <si>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</si>
  <si>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</si>
  <si>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</si>
  <si>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</si>
  <si>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</si>
  <si>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</si>
  <si>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</si>
  <si>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</si>
  <si>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</si>
  <si>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</si>
  <si>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</si>
  <si>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</si>
  <si>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</si>
  <si>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</si>
  <si>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</si>
  <si>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</si>
  <si>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</si>
  <si>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</si>
  <si>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</si>
  <si>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</si>
  <si>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</si>
  <si>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</si>
  <si>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</si>
  <si>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</si>
  <si>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</si>
  <si>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</si>
  <si>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</si>
  <si>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</si>
  <si>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</si>
  <si>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</si>
  <si>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</si>
  <si>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</si>
  <si>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</si>
  <si>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</si>
  <si>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</si>
  <si>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</si>
  <si>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</si>
  <si>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</si>
  <si>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</si>
  <si>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</si>
  <si>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</si>
  <si>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</si>
  <si>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</si>
  <si>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</si>
  <si>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</si>
  <si>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</si>
  <si>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</si>
  <si>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</si>
  <si>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</si>
  <si>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</si>
  <si>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</si>
  <si>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</si>
  <si>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</si>
  <si>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</si>
  <si>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</si>
  <si>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</si>
  <si>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</si>
  <si>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</si>
  <si>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</si>
  <si>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</si>
  <si>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</si>
  <si>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</si>
  <si>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</si>
  <si>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PS-1006</t>
  </si>
  <si>
    <t>PS-1007</t>
  </si>
  <si>
    <t>PS-1008</t>
  </si>
  <si>
    <t>PS-1009</t>
  </si>
  <si>
    <t>PS-1010</t>
  </si>
  <si>
    <t>PS-1011</t>
  </si>
  <si>
    <t>PS-1012</t>
  </si>
  <si>
    <t>PS-1013</t>
  </si>
  <si>
    <t>PS-1014</t>
  </si>
  <si>
    <t>PS-1015</t>
  </si>
  <si>
    <t>PS-1016</t>
  </si>
  <si>
    <t>PS-1017</t>
  </si>
  <si>
    <t>PS-1018</t>
  </si>
  <si>
    <t>PS-1019</t>
  </si>
  <si>
    <t>PS-1020</t>
  </si>
  <si>
    <t>PS-1021</t>
  </si>
  <si>
    <t>PS-1022</t>
  </si>
  <si>
    <t>PS-1023</t>
  </si>
  <si>
    <t>PS-1024</t>
  </si>
  <si>
    <t>PS-1025</t>
  </si>
  <si>
    <t>PS-1026</t>
  </si>
  <si>
    <t>PS-1027</t>
  </si>
  <si>
    <t>PS-1028</t>
  </si>
  <si>
    <t>PS-1029</t>
  </si>
  <si>
    <t>PS-1030</t>
  </si>
  <si>
    <t>PS-1031</t>
  </si>
  <si>
    <t>PS-1032</t>
  </si>
  <si>
    <t>PS-1033</t>
  </si>
  <si>
    <t>PS-1034</t>
  </si>
  <si>
    <t>PS-1035</t>
  </si>
  <si>
    <t>PS-1036</t>
  </si>
  <si>
    <t>PS-1037</t>
  </si>
  <si>
    <t>PS-1038</t>
  </si>
  <si>
    <t>PS-1039</t>
  </si>
  <si>
    <t>PS-1040</t>
  </si>
  <si>
    <t>PS-1041</t>
  </si>
  <si>
    <t>PS-1042</t>
  </si>
  <si>
    <t>PS-1043</t>
  </si>
  <si>
    <t>PS-1044</t>
  </si>
  <si>
    <t>PS-1045</t>
  </si>
  <si>
    <t>PS-1046</t>
  </si>
  <si>
    <t>PS-1047</t>
  </si>
  <si>
    <t>PS-1048</t>
  </si>
  <si>
    <t>PS-1049</t>
  </si>
  <si>
    <t>PS-1050</t>
  </si>
  <si>
    <t>PS-1051</t>
  </si>
  <si>
    <t>PS-1052</t>
  </si>
  <si>
    <t>PS-1053</t>
  </si>
  <si>
    <t>PS-1054</t>
  </si>
  <si>
    <t>PS-1055</t>
  </si>
  <si>
    <t>PS-1056</t>
  </si>
  <si>
    <t>PS-1057</t>
  </si>
  <si>
    <t>PS-1058</t>
  </si>
  <si>
    <t>PS-1059</t>
  </si>
  <si>
    <t>PS-1060</t>
  </si>
  <si>
    <t>PS-1061</t>
  </si>
  <si>
    <t>PS-1062</t>
  </si>
  <si>
    <t>PS-1063</t>
  </si>
  <si>
    <t>PS-1064</t>
  </si>
  <si>
    <t>PS-1065</t>
  </si>
  <si>
    <t>PS-1066</t>
  </si>
  <si>
    <t>PS-1067</t>
  </si>
  <si>
    <t>PS-1068</t>
  </si>
  <si>
    <t>PS-1069</t>
  </si>
  <si>
    <t>PS-1070</t>
  </si>
  <si>
    <t>PS-1071</t>
  </si>
  <si>
    <t>PS-1072</t>
  </si>
  <si>
    <t>PS-1073</t>
  </si>
  <si>
    <t>PS-1074</t>
  </si>
  <si>
    <t>PS-1075</t>
  </si>
  <si>
    <t>PS-1076</t>
  </si>
  <si>
    <t>PS-1077</t>
  </si>
  <si>
    <t>PS-1078</t>
  </si>
  <si>
    <t>PS-1079</t>
  </si>
  <si>
    <t>PS-1080</t>
  </si>
  <si>
    <t>PS-1081</t>
  </si>
  <si>
    <t>PS-1082</t>
  </si>
  <si>
    <t>PS-1083</t>
  </si>
  <si>
    <t>PS-1084</t>
  </si>
  <si>
    <t>PS-1085</t>
  </si>
  <si>
    <t>PS-1086</t>
  </si>
  <si>
    <t>PS-1087</t>
  </si>
  <si>
    <t>PS-1088</t>
  </si>
  <si>
    <t>PS-1089</t>
  </si>
  <si>
    <t>PS-1090</t>
  </si>
  <si>
    <t>PS-1091</t>
  </si>
  <si>
    <t>PS-1092</t>
  </si>
  <si>
    <t>PS-1093</t>
  </si>
  <si>
    <t>PS-1094</t>
  </si>
  <si>
    <t>PS-1095</t>
  </si>
  <si>
    <t>PS-1096</t>
  </si>
  <si>
    <t>PS-1097</t>
  </si>
  <si>
    <t>PS-1098</t>
  </si>
  <si>
    <t>PS-1099</t>
  </si>
  <si>
    <t>PS-1100</t>
  </si>
  <si>
    <t>PS-1101</t>
  </si>
  <si>
    <t>PS-1102</t>
  </si>
  <si>
    <t>PS-1103</t>
  </si>
  <si>
    <t>PS-1104</t>
  </si>
  <si>
    <t>PS-1105</t>
  </si>
  <si>
    <t>PS-1106</t>
  </si>
  <si>
    <t>PS-1107</t>
  </si>
  <si>
    <t>PS-1108</t>
  </si>
  <si>
    <t>PS-1109</t>
  </si>
  <si>
    <t>PS-1110</t>
  </si>
  <si>
    <t>PS-1111</t>
  </si>
  <si>
    <t>PS-1112</t>
  </si>
  <si>
    <t>PS-1113</t>
  </si>
  <si>
    <t>PS-1114</t>
  </si>
  <si>
    <t>PS-1115</t>
  </si>
  <si>
    <t>PS-1116</t>
  </si>
  <si>
    <t>PS-1117</t>
  </si>
  <si>
    <t>PS-1118</t>
  </si>
  <si>
    <t>PS-1119</t>
  </si>
  <si>
    <t>PS-1120</t>
  </si>
  <si>
    <t>PS-1121</t>
  </si>
  <si>
    <t>PS-1122</t>
  </si>
  <si>
    <t>PS-1123</t>
  </si>
  <si>
    <t>PS-1124</t>
  </si>
  <si>
    <t>PS-1125</t>
  </si>
  <si>
    <t>PS-1126</t>
  </si>
  <si>
    <t>PS-1127</t>
  </si>
  <si>
    <t>PS-1128</t>
  </si>
  <si>
    <t>PS-1129</t>
  </si>
  <si>
    <t>PS-1130</t>
  </si>
  <si>
    <t>PS-1131</t>
  </si>
  <si>
    <t>PS-1132</t>
  </si>
  <si>
    <t>PS-1133</t>
  </si>
  <si>
    <t>PS-1134</t>
  </si>
  <si>
    <t>PS-1135</t>
  </si>
  <si>
    <t>PS-1136</t>
  </si>
  <si>
    <t>PS-1137</t>
  </si>
  <si>
    <t>PS-1138</t>
  </si>
  <si>
    <t>PS-1139</t>
  </si>
  <si>
    <t>PS-1140</t>
  </si>
  <si>
    <t>PS-1141</t>
  </si>
  <si>
    <t>PS-1142</t>
  </si>
  <si>
    <t>PS-1143</t>
  </si>
  <si>
    <t>PS-1144</t>
  </si>
  <si>
    <t>PS-1145</t>
  </si>
  <si>
    <t>PS-1146</t>
  </si>
  <si>
    <t>PS-1147</t>
  </si>
  <si>
    <t>PS-1148</t>
  </si>
  <si>
    <t>PS-1149</t>
  </si>
  <si>
    <t>PS-1150</t>
  </si>
  <si>
    <t>PS-1151</t>
  </si>
  <si>
    <t>PS-1152</t>
  </si>
  <si>
    <t>PS-1153</t>
  </si>
  <si>
    <t>PS-1154</t>
  </si>
  <si>
    <t>PS-1155</t>
  </si>
  <si>
    <t>PS-1156</t>
  </si>
  <si>
    <t>PS-1157</t>
  </si>
  <si>
    <t>PS-1158</t>
  </si>
  <si>
    <t>PS-1159</t>
  </si>
  <si>
    <t>PS-1160</t>
  </si>
  <si>
    <t>PS-1161</t>
  </si>
  <si>
    <t>PS-1162</t>
  </si>
  <si>
    <t>PS-1163</t>
  </si>
  <si>
    <t>PS-1164</t>
  </si>
  <si>
    <t>PS-1165</t>
  </si>
  <si>
    <t>PS-1166</t>
  </si>
  <si>
    <t>PS-1167</t>
  </si>
  <si>
    <t>PS-1168</t>
  </si>
  <si>
    <t>PS-1169</t>
  </si>
  <si>
    <t>PS-1170</t>
  </si>
  <si>
    <t>PS-1171</t>
  </si>
  <si>
    <t>PS-1172</t>
  </si>
  <si>
    <t>PS-1173</t>
  </si>
  <si>
    <t>PS-1174</t>
  </si>
  <si>
    <t>PS-1175</t>
  </si>
  <si>
    <t>PS-1176</t>
  </si>
  <si>
    <t>PS-1177</t>
  </si>
  <si>
    <t>PS-1178</t>
  </si>
  <si>
    <t>PS-1179</t>
  </si>
  <si>
    <t>PS-1180</t>
  </si>
  <si>
    <t>PS-1181</t>
  </si>
  <si>
    <t>PS-1182</t>
  </si>
  <si>
    <t>PS-1183</t>
  </si>
  <si>
    <t>PS-1184</t>
  </si>
  <si>
    <t>PS-1185</t>
  </si>
  <si>
    <t>PS-1186</t>
  </si>
  <si>
    <t>PS-1187</t>
  </si>
  <si>
    <t>PS-1188</t>
  </si>
  <si>
    <t>PS-1189</t>
  </si>
  <si>
    <t>PS-1190</t>
  </si>
  <si>
    <t>PS-1191</t>
  </si>
  <si>
    <t>PS-1192</t>
  </si>
  <si>
    <t>PS-1193</t>
  </si>
  <si>
    <t>PS-1194</t>
  </si>
  <si>
    <t>PS-1195</t>
  </si>
  <si>
    <t>PS-1196</t>
  </si>
  <si>
    <t>PS-1197</t>
  </si>
  <si>
    <t>PS-1198</t>
  </si>
  <si>
    <t>PS-1199</t>
  </si>
  <si>
    <t>PS-1200</t>
  </si>
  <si>
    <t>PS-1201</t>
  </si>
  <si>
    <t>PS-1202</t>
  </si>
  <si>
    <t>PS-1203</t>
  </si>
  <si>
    <t>PS-1204</t>
  </si>
  <si>
    <t>PS-1205</t>
  </si>
  <si>
    <t>PS-1206</t>
  </si>
  <si>
    <t>PS-1207</t>
  </si>
  <si>
    <t>PS-1208</t>
  </si>
  <si>
    <t>PS-1209</t>
  </si>
  <si>
    <t>PS-1210</t>
  </si>
  <si>
    <t>PS-1211</t>
  </si>
  <si>
    <t>PS-1212</t>
  </si>
  <si>
    <t>PS-1213</t>
  </si>
  <si>
    <t>PS-1214</t>
  </si>
  <si>
    <t>PS-1215</t>
  </si>
  <si>
    <t>PS-1216</t>
  </si>
  <si>
    <t>PS-1217</t>
  </si>
  <si>
    <t>PS-1218</t>
  </si>
  <si>
    <t>PS-1219</t>
  </si>
  <si>
    <t>PS-1220</t>
  </si>
  <si>
    <t>PS-1221</t>
  </si>
  <si>
    <t>PS-1222</t>
  </si>
  <si>
    <t>PS-1223</t>
  </si>
  <si>
    <t>PS-1224</t>
  </si>
  <si>
    <t>PS-1225</t>
  </si>
  <si>
    <t>PS-1226</t>
  </si>
  <si>
    <t>PS-1227</t>
  </si>
  <si>
    <t>PS-1228</t>
  </si>
  <si>
    <t>PS-1229</t>
  </si>
  <si>
    <t>PS-1230</t>
  </si>
  <si>
    <t>PS-1231</t>
  </si>
  <si>
    <t>PS-1232</t>
  </si>
  <si>
    <t>PS-1233</t>
  </si>
  <si>
    <t>PS-1234</t>
  </si>
  <si>
    <t>PS-1235</t>
  </si>
  <si>
    <t>PS-1236</t>
  </si>
  <si>
    <t>PS-1237</t>
  </si>
  <si>
    <t>PS-1238</t>
  </si>
  <si>
    <t>PS-1239</t>
  </si>
  <si>
    <t>PS-1240</t>
  </si>
  <si>
    <t>PS-1241</t>
  </si>
  <si>
    <t>PS-1242</t>
  </si>
  <si>
    <t>PS-1243</t>
  </si>
  <si>
    <t>PS-1244</t>
  </si>
  <si>
    <t>PS-1245</t>
  </si>
  <si>
    <t>PS-1246</t>
  </si>
  <si>
    <t>PS-1247</t>
  </si>
  <si>
    <t>PS-1248</t>
  </si>
  <si>
    <t>PS-1249</t>
  </si>
  <si>
    <t>PS-1250</t>
  </si>
  <si>
    <t>PS-1251</t>
  </si>
  <si>
    <t>PS-1252</t>
  </si>
  <si>
    <t>PS-1253</t>
  </si>
  <si>
    <t>PS-1254</t>
  </si>
  <si>
    <t>PS-1255</t>
  </si>
  <si>
    <t>PS-1256</t>
  </si>
  <si>
    <t>PS-1257</t>
  </si>
  <si>
    <t>PS-1258</t>
  </si>
  <si>
    <t>PS-1259</t>
  </si>
  <si>
    <t>PS-1260</t>
  </si>
  <si>
    <t>PS-1261</t>
  </si>
  <si>
    <t>PS-1262</t>
  </si>
  <si>
    <t>PS-1263</t>
  </si>
  <si>
    <t>PS-1264</t>
  </si>
  <si>
    <t>PS-1265</t>
  </si>
  <si>
    <t>PS-1266</t>
  </si>
  <si>
    <t>PS-1267</t>
  </si>
  <si>
    <t>PS-1268</t>
  </si>
  <si>
    <t>PS-1269</t>
  </si>
  <si>
    <t>PS-1270</t>
  </si>
  <si>
    <t>PS-1271</t>
  </si>
  <si>
    <t>PS-1272</t>
  </si>
  <si>
    <t>PS-1273</t>
  </si>
  <si>
    <t>PS-1274</t>
  </si>
  <si>
    <t>PS-1275</t>
  </si>
  <si>
    <t>PS-1276</t>
  </si>
  <si>
    <t>PS-1277</t>
  </si>
  <si>
    <t>PS-1278</t>
  </si>
  <si>
    <t>PS-1279</t>
  </si>
  <si>
    <t>PS-1280</t>
  </si>
  <si>
    <t>PS-1281</t>
  </si>
  <si>
    <t>PS-1282</t>
  </si>
  <si>
    <t>PS-1283</t>
  </si>
  <si>
    <t>PS-1284</t>
  </si>
  <si>
    <t>PS-1285</t>
  </si>
  <si>
    <t>PS-1286</t>
  </si>
  <si>
    <t>PS-1287</t>
  </si>
  <si>
    <t>PS-1288</t>
  </si>
  <si>
    <t>PS-1289</t>
  </si>
  <si>
    <t>PS-1290</t>
  </si>
  <si>
    <t>PS-1291</t>
  </si>
  <si>
    <t>PS-1292</t>
  </si>
  <si>
    <t>PS-1293</t>
  </si>
  <si>
    <t>PS-1294</t>
  </si>
  <si>
    <t>PS-1295</t>
  </si>
  <si>
    <t>21/10/2025</t>
  </si>
  <si>
    <t>09/01/2025</t>
  </si>
  <si>
    <t>18/06/2025</t>
  </si>
  <si>
    <t>06/05/2025</t>
  </si>
  <si>
    <t>25/07/2025</t>
  </si>
  <si>
    <t>26/12/2025</t>
  </si>
  <si>
    <t>23/03/2025</t>
  </si>
  <si>
    <t>02/07/2025</t>
  </si>
  <si>
    <t>26/05/2025</t>
  </si>
  <si>
    <t>23/02/2025</t>
  </si>
  <si>
    <t>21/11/2025</t>
  </si>
  <si>
    <t>25/01/2025</t>
  </si>
  <si>
    <t>08/09/2025</t>
  </si>
  <si>
    <t>27/04/2025</t>
  </si>
  <si>
    <t>17/10/2025</t>
  </si>
  <si>
    <t>24/07/2025</t>
  </si>
  <si>
    <t>17/09/2025</t>
  </si>
  <si>
    <t>05/04/2025</t>
  </si>
  <si>
    <t>05/01/2025</t>
  </si>
  <si>
    <t>01/08/2025</t>
  </si>
  <si>
    <t>23/01/2025</t>
  </si>
  <si>
    <t>16/10/2025</t>
  </si>
  <si>
    <t>13/08/2025</t>
  </si>
  <si>
    <t>31/03/2025</t>
  </si>
  <si>
    <t>15/01/2025</t>
  </si>
  <si>
    <t>10/10/2025</t>
  </si>
  <si>
    <t>02/04/2025</t>
  </si>
  <si>
    <t>20/10/2025</t>
  </si>
  <si>
    <t>07/12/2025</t>
  </si>
  <si>
    <t>12/11/2025</t>
  </si>
  <si>
    <t>11/12/2025</t>
  </si>
  <si>
    <t>04/07/2025</t>
  </si>
  <si>
    <t>04/08/2025</t>
  </si>
  <si>
    <t>25/09/2025</t>
  </si>
  <si>
    <t>28/09/2025</t>
  </si>
  <si>
    <t>31/05/2025</t>
  </si>
  <si>
    <t>13/07/2025</t>
  </si>
  <si>
    <t>26/09/2025</t>
  </si>
  <si>
    <t>12/09/2025</t>
  </si>
  <si>
    <t>22/09/2025</t>
  </si>
  <si>
    <t>30/10/2025</t>
  </si>
  <si>
    <t>10/08/2025</t>
  </si>
  <si>
    <t>08/03/2025</t>
  </si>
  <si>
    <t>24/04/2025</t>
  </si>
  <si>
    <t>02/06/2025</t>
  </si>
  <si>
    <t>22/12/2025</t>
  </si>
  <si>
    <t>06/02/2025</t>
  </si>
  <si>
    <t>15/03/2025</t>
  </si>
  <si>
    <t>29/06/2025</t>
  </si>
  <si>
    <t>21/07/2025</t>
  </si>
  <si>
    <t>31/07/2025</t>
  </si>
  <si>
    <t>30/12/2025</t>
  </si>
  <si>
    <t>21/02/2025</t>
  </si>
  <si>
    <t>08/12/2025</t>
  </si>
  <si>
    <t>07/08/2025</t>
  </si>
  <si>
    <t>17/03/2025</t>
  </si>
  <si>
    <t>07/09/2025</t>
  </si>
  <si>
    <t>11/07/2025</t>
  </si>
  <si>
    <t>24/09/2025</t>
  </si>
  <si>
    <t>29/03/2025</t>
  </si>
  <si>
    <t>27/10/2025</t>
  </si>
  <si>
    <t>04/06/2025</t>
  </si>
  <si>
    <t>31/10/2025</t>
  </si>
  <si>
    <t>24/08/2025</t>
  </si>
  <si>
    <t>20/07/2025</t>
  </si>
  <si>
    <t>11/10/2025</t>
  </si>
  <si>
    <t>07/04/2025</t>
  </si>
  <si>
    <t>03/02/2025</t>
  </si>
  <si>
    <t>21/05/2025</t>
  </si>
  <si>
    <t>20/11/2025</t>
  </si>
  <si>
    <t>04/11/2025</t>
  </si>
  <si>
    <t>04/05/2025</t>
  </si>
  <si>
    <t>05/10/2025</t>
  </si>
  <si>
    <t>14/03/2025</t>
  </si>
  <si>
    <t>06/07/2025</t>
  </si>
  <si>
    <t>27/07/2025</t>
  </si>
  <si>
    <t>18/01/2025</t>
  </si>
  <si>
    <t>06/10/2025</t>
  </si>
  <si>
    <t>03/01/2025</t>
  </si>
  <si>
    <t>24/03/2025</t>
  </si>
  <si>
    <t>01/01/2025</t>
  </si>
  <si>
    <t>09/06/2025</t>
  </si>
  <si>
    <t>01/04/2025</t>
  </si>
  <si>
    <t>08/06/2025</t>
  </si>
  <si>
    <t>06/06/2025</t>
  </si>
  <si>
    <t>18/11/2025</t>
  </si>
  <si>
    <t>05/12/2025</t>
  </si>
  <si>
    <t>07/07/2025</t>
  </si>
  <si>
    <t>19/12/2025</t>
  </si>
  <si>
    <t>09/07/2025</t>
  </si>
  <si>
    <t>04/02/2025</t>
  </si>
  <si>
    <t>16/07/2025</t>
  </si>
  <si>
    <t>05/11/2025</t>
  </si>
  <si>
    <t>17/07/2025</t>
  </si>
  <si>
    <t>13/11/2025</t>
  </si>
  <si>
    <t>14/07/2025</t>
  </si>
  <si>
    <t>22/03/2025</t>
  </si>
  <si>
    <t>19/05/2025</t>
  </si>
  <si>
    <t>17/06/2025</t>
  </si>
  <si>
    <t>31/12/2025</t>
  </si>
  <si>
    <t>15/05/2025</t>
  </si>
  <si>
    <t>23/09/2025</t>
  </si>
  <si>
    <t>05/06/2025</t>
  </si>
  <si>
    <t>14/08/2025</t>
  </si>
  <si>
    <t>24/05/2025</t>
  </si>
  <si>
    <t>09/02/2025</t>
  </si>
  <si>
    <t>06/09/2025</t>
  </si>
  <si>
    <t>19/04/2025</t>
  </si>
  <si>
    <t>15/09/2025</t>
  </si>
  <si>
    <t>07/06/2025</t>
  </si>
  <si>
    <t>24/02/2025</t>
  </si>
  <si>
    <t>26/02/2025</t>
  </si>
  <si>
    <t>06/03/2025</t>
  </si>
  <si>
    <t>06/12/2025</t>
  </si>
  <si>
    <t>01/10/2025</t>
  </si>
  <si>
    <t>11/03/2025</t>
  </si>
  <si>
    <t>12/02/2025</t>
  </si>
  <si>
    <t>11/08/2025</t>
  </si>
  <si>
    <t>06/01/2025</t>
  </si>
  <si>
    <t>18/09/2025</t>
  </si>
  <si>
    <t>30/09/2025</t>
  </si>
  <si>
    <t>20/12/2025</t>
  </si>
  <si>
    <t>04/09/2025</t>
  </si>
  <si>
    <t>25/12/2025</t>
  </si>
  <si>
    <t>08/11/2025</t>
  </si>
  <si>
    <t>04/01/2025</t>
  </si>
  <si>
    <t>01/06/2025</t>
  </si>
  <si>
    <t>10/07/2025</t>
  </si>
  <si>
    <t>21/06/2025</t>
  </si>
  <si>
    <t>23/04/2025</t>
  </si>
  <si>
    <t>08/08/2025</t>
  </si>
  <si>
    <t>18/08/2025</t>
  </si>
  <si>
    <t>26/01/2025</t>
  </si>
  <si>
    <t>28/03/2025</t>
  </si>
  <si>
    <t>19/09/2025</t>
  </si>
  <si>
    <t>02/10/2025</t>
  </si>
  <si>
    <t>27/06/2025</t>
  </si>
  <si>
    <t>17/05/2025</t>
  </si>
  <si>
    <t>29/12/2025</t>
  </si>
  <si>
    <t>03/07/2025</t>
  </si>
  <si>
    <t>25/04/2025</t>
  </si>
  <si>
    <t>26/07/2025</t>
  </si>
  <si>
    <t>23/12/2025</t>
  </si>
  <si>
    <t>15/08/2025</t>
  </si>
  <si>
    <t>20/01/2025</t>
  </si>
  <si>
    <t>11/09/2025</t>
  </si>
  <si>
    <t>22/07/2025</t>
  </si>
  <si>
    <t>16/12/2025</t>
  </si>
  <si>
    <t>05/09/2025</t>
  </si>
  <si>
    <t>16/02/2025</t>
  </si>
  <si>
    <t>29/01/2025</t>
  </si>
  <si>
    <t>12/10/2025</t>
  </si>
  <si>
    <t>13/10/2025</t>
  </si>
  <si>
    <t>15/11/2025</t>
  </si>
  <si>
    <t>25/08/2025</t>
  </si>
  <si>
    <t>10/12/2025</t>
  </si>
  <si>
    <t>25/10/2025</t>
  </si>
  <si>
    <t>07/03/2025</t>
  </si>
  <si>
    <t>29/08/2025</t>
  </si>
  <si>
    <t>24/12/2025</t>
  </si>
  <si>
    <t>09/10/2025</t>
  </si>
  <si>
    <t>13/03/2025</t>
  </si>
  <si>
    <t>07/05/2025</t>
  </si>
  <si>
    <t>03/03/2025</t>
  </si>
  <si>
    <t>12/07/2025</t>
  </si>
  <si>
    <t>26/10/2025</t>
  </si>
  <si>
    <t>12/04/2025</t>
  </si>
  <si>
    <t>18/07/2025</t>
  </si>
  <si>
    <t>28/05/2025</t>
  </si>
  <si>
    <t>06/11/2025</t>
  </si>
  <si>
    <t>19/03/2025</t>
  </si>
  <si>
    <t>01/02/2025</t>
  </si>
  <si>
    <t>29/10/2025</t>
  </si>
  <si>
    <t>14/01/2025</t>
  </si>
  <si>
    <t>28/08/2025</t>
  </si>
  <si>
    <t>14/04/2025</t>
  </si>
  <si>
    <t>10/03/2025</t>
  </si>
  <si>
    <t>27/09/2025</t>
  </si>
  <si>
    <t>14/09/2025</t>
  </si>
  <si>
    <t>15/02/2025</t>
  </si>
  <si>
    <t>10/05/2025</t>
  </si>
  <si>
    <t>30/11/2025</t>
  </si>
  <si>
    <t>01/09/2025</t>
  </si>
  <si>
    <t>26/03/2025</t>
  </si>
  <si>
    <t>22/06/2025</t>
  </si>
  <si>
    <t>15/07/2025</t>
  </si>
  <si>
    <t>31/08/2025</t>
  </si>
  <si>
    <t>10/09/2025</t>
  </si>
  <si>
    <t>07/02/2025</t>
  </si>
  <si>
    <t>28/11/2025</t>
  </si>
  <si>
    <t>19/01/2025</t>
  </si>
  <si>
    <t>09/12/2025</t>
  </si>
  <si>
    <t>22/05/2025</t>
  </si>
  <si>
    <t>05/02/2025</t>
  </si>
  <si>
    <t>12/05/2025</t>
  </si>
  <si>
    <t>17/01/2025</t>
  </si>
  <si>
    <t>26/04/2025</t>
  </si>
  <si>
    <t>25/11/2025</t>
  </si>
  <si>
    <t>02/05/2025</t>
  </si>
  <si>
    <t>16/01/2025</t>
  </si>
  <si>
    <t>02/03/2025</t>
  </si>
  <si>
    <t>05/08/2025</t>
  </si>
  <si>
    <t>AutoRenovacao</t>
  </si>
  <si>
    <t>Azul Principal</t>
  </si>
  <si>
    <t>#003791</t>
  </si>
  <si>
    <t>Azul Royal</t>
  </si>
  <si>
    <t>#0072CE</t>
  </si>
  <si>
    <t>Gráficos de barras (destaque) e ícones.</t>
  </si>
  <si>
    <t>Azul Neon (Glow)</t>
  </si>
  <si>
    <t>#2E6DB4</t>
  </si>
  <si>
    <t>Dark Mode (Fundo)</t>
  </si>
  <si>
    <t>#1F1F1F</t>
  </si>
  <si>
    <t>Off-White</t>
  </si>
  <si>
    <t>#F5F5F5</t>
  </si>
  <si>
    <t>Cinza Suporte</t>
  </si>
  <si>
    <t>#A0A0A0</t>
  </si>
  <si>
    <t xml:space="preserve">Fundo do Dashboard </t>
  </si>
  <si>
    <t>Zona negativa</t>
  </si>
  <si>
    <t>Uso</t>
  </si>
  <si>
    <t>Cor</t>
  </si>
  <si>
    <t>Cabeçalhos de tabelas e botões principais</t>
  </si>
  <si>
    <t>Linhas de efeitos</t>
  </si>
  <si>
    <t>Fundo do Dashboard.</t>
  </si>
  <si>
    <t>Rótulos de Linha</t>
  </si>
  <si>
    <t>Total Geral</t>
  </si>
  <si>
    <t>Soma de Valor_Plano</t>
  </si>
  <si>
    <r>
      <t xml:space="preserve">Pergunta 1 - Qual </t>
    </r>
    <r>
      <rPr>
        <b/>
        <sz val="11"/>
        <color theme="1"/>
        <rFont val="Calibri"/>
        <family val="2"/>
        <scheme val="minor"/>
      </rPr>
      <t>valor total</t>
    </r>
    <r>
      <rPr>
        <sz val="11"/>
        <color theme="1"/>
        <rFont val="Calibri"/>
        <family val="2"/>
        <scheme val="minor"/>
      </rPr>
      <t xml:space="preserve"> de faturamento de </t>
    </r>
    <r>
      <rPr>
        <b/>
        <sz val="11"/>
        <color theme="1"/>
        <rFont val="Calibri"/>
        <family val="2"/>
        <scheme val="minor"/>
      </rPr>
      <t>cada plano</t>
    </r>
    <r>
      <rPr>
        <sz val="11"/>
        <color theme="1"/>
        <rFont val="Calibri"/>
        <family val="2"/>
        <scheme val="minor"/>
      </rPr>
      <t xml:space="preserve"> em cada </t>
    </r>
    <r>
      <rPr>
        <b/>
        <sz val="11"/>
        <color theme="1"/>
        <rFont val="Calibri"/>
        <family val="2"/>
        <scheme val="minor"/>
      </rPr>
      <t>periodo de pagamento</t>
    </r>
    <r>
      <rPr>
        <sz val="11"/>
        <color theme="1"/>
        <rFont val="Calibri"/>
        <family val="2"/>
        <scheme val="minor"/>
      </rPr>
      <t>?</t>
    </r>
  </si>
  <si>
    <t>Periodo_Pagamento</t>
  </si>
  <si>
    <t>Contagem de ID_Assinante</t>
  </si>
  <si>
    <r>
      <t xml:space="preserve">Pergunta 2- Qual </t>
    </r>
    <r>
      <rPr>
        <b/>
        <sz val="11"/>
        <color theme="1"/>
        <rFont val="Calibri"/>
        <family val="2"/>
        <scheme val="minor"/>
      </rPr>
      <t xml:space="preserve">quantidade </t>
    </r>
    <r>
      <rPr>
        <sz val="11"/>
        <color theme="1"/>
        <rFont val="Calibri"/>
        <family val="2"/>
        <scheme val="minor"/>
      </rPr>
      <t xml:space="preserve">de assinantes de </t>
    </r>
    <r>
      <rPr>
        <b/>
        <sz val="11"/>
        <color theme="1"/>
        <rFont val="Calibri"/>
        <family val="2"/>
        <scheme val="minor"/>
      </rPr>
      <t>cada plano</t>
    </r>
    <r>
      <rPr>
        <sz val="11"/>
        <color theme="1"/>
        <rFont val="Calibri"/>
        <family val="2"/>
        <scheme val="minor"/>
      </rPr>
      <t xml:space="preserve"> em cada </t>
    </r>
    <r>
      <rPr>
        <b/>
        <sz val="11"/>
        <color theme="1"/>
        <rFont val="Calibri"/>
        <family val="2"/>
        <scheme val="minor"/>
      </rPr>
      <t>periodo de pagamento</t>
    </r>
    <r>
      <rPr>
        <sz val="11"/>
        <color theme="1"/>
        <rFont val="Calibri"/>
        <family val="2"/>
        <scheme val="minor"/>
      </rPr>
      <t>?</t>
    </r>
  </si>
  <si>
    <t>BIG NUMBERS</t>
  </si>
  <si>
    <t>total de faturamento</t>
  </si>
  <si>
    <t>(Tudo)</t>
  </si>
  <si>
    <t>Total assinantes</t>
  </si>
  <si>
    <r>
      <t xml:space="preserve">Pergunta 3- Qual </t>
    </r>
    <r>
      <rPr>
        <b/>
        <sz val="11"/>
        <color theme="1"/>
        <rFont val="Calibri"/>
        <family val="2"/>
        <scheme val="minor"/>
      </rPr>
      <t>quantidade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 xml:space="preserve">assinantes </t>
    </r>
    <r>
      <rPr>
        <sz val="11"/>
        <color theme="1"/>
        <rFont val="Calibri"/>
        <family val="2"/>
        <scheme val="minor"/>
      </rPr>
      <t>que</t>
    </r>
    <r>
      <rPr>
        <b/>
        <sz val="11"/>
        <color theme="1"/>
        <rFont val="Calibri"/>
        <family val="2"/>
        <scheme val="minor"/>
      </rPr>
      <t xml:space="preserve"> auto renovam e</t>
    </r>
    <r>
      <rPr>
        <sz val="11"/>
        <color theme="1"/>
        <rFont val="Calibri"/>
        <family val="2"/>
        <scheme val="minor"/>
      </rPr>
      <t xml:space="preserve"> optam pelo </t>
    </r>
    <r>
      <rPr>
        <b/>
        <sz val="11"/>
        <color theme="1"/>
        <rFont val="Calibri"/>
        <family val="2"/>
        <scheme val="minor"/>
      </rPr>
      <t>add on</t>
    </r>
    <r>
      <rPr>
        <sz val="11"/>
        <color theme="1"/>
        <rFont val="Calibri"/>
        <family val="2"/>
        <scheme val="minor"/>
      </rPr>
      <t xml:space="preserve"> da </t>
    </r>
    <r>
      <rPr>
        <b/>
        <sz val="11"/>
        <color theme="1"/>
        <rFont val="Calibri"/>
        <family val="2"/>
        <scheme val="minor"/>
      </rPr>
      <t>ubisoft</t>
    </r>
    <r>
      <rPr>
        <sz val="11"/>
        <color theme="1"/>
        <rFont val="Calibri"/>
        <family val="2"/>
        <scheme val="minor"/>
      </rPr>
      <t>?</t>
    </r>
  </si>
  <si>
    <r>
      <t xml:space="preserve">Pergunta 4- Qual </t>
    </r>
    <r>
      <rPr>
        <b/>
        <sz val="11"/>
        <color theme="1"/>
        <rFont val="Calibri"/>
        <family val="2"/>
        <scheme val="minor"/>
      </rPr>
      <t>quantidade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 xml:space="preserve">assinantes </t>
    </r>
    <r>
      <rPr>
        <sz val="11"/>
        <color theme="1"/>
        <rFont val="Calibri"/>
        <family val="2"/>
        <scheme val="minor"/>
      </rPr>
      <t>que</t>
    </r>
    <r>
      <rPr>
        <b/>
        <sz val="11"/>
        <color theme="1"/>
        <rFont val="Calibri"/>
        <family val="2"/>
        <scheme val="minor"/>
      </rPr>
      <t xml:space="preserve"> auto renovam e</t>
    </r>
    <r>
      <rPr>
        <sz val="11"/>
        <color theme="1"/>
        <rFont val="Calibri"/>
        <family val="2"/>
        <scheme val="minor"/>
      </rPr>
      <t xml:space="preserve"> optam pelo </t>
    </r>
    <r>
      <rPr>
        <b/>
        <sz val="11"/>
        <color theme="1"/>
        <rFont val="Calibri"/>
        <family val="2"/>
        <scheme val="minor"/>
      </rPr>
      <t>add on</t>
    </r>
    <r>
      <rPr>
        <sz val="11"/>
        <color theme="1"/>
        <rFont val="Calibri"/>
        <family val="2"/>
        <scheme val="minor"/>
      </rPr>
      <t xml:space="preserve"> do</t>
    </r>
    <r>
      <rPr>
        <b/>
        <sz val="11"/>
        <color theme="1"/>
        <rFont val="Calibri"/>
        <family val="2"/>
        <scheme val="minor"/>
      </rPr>
      <t xml:space="preserve"> fortnite</t>
    </r>
    <r>
      <rPr>
        <sz val="11"/>
        <color theme="1"/>
        <rFont val="Calibri"/>
        <family val="2"/>
        <scheme val="minor"/>
      </rPr>
      <t>?</t>
    </r>
  </si>
  <si>
    <t>assinantes fortnite</t>
  </si>
  <si>
    <t>assinantes ubisoft</t>
  </si>
  <si>
    <t>Relatório de Vendas Playstation</t>
  </si>
  <si>
    <t>Período calculado: 01/01/2025 - 31/12/2025 | Útimo Update: 13/01/2026 10:25:42</t>
  </si>
  <si>
    <t>Cenário_AddOn</t>
  </si>
  <si>
    <t>Fortnite + Ubisoft</t>
  </si>
  <si>
    <t>Nenhum Add-on</t>
  </si>
  <si>
    <t>Somente Fortnite</t>
  </si>
  <si>
    <t>Somente Ubisoft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</si>
</sst>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1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theme="0"/>
      <name val="Arial"/>
      <family val="2"/>
    </font>
    <font>
      <sz val="10"/>
      <color theme="0"/>
      <name val="Google Sans Text"/>
      <family val="2"/>
    </font>
    <font>
      <sz val="11"/>
      <color theme="0"/>
      <name val="Arial"/>
      <family val="2"/>
    </font>
    <font>
      <b/>
      <sz val="20"/>
      <color theme="1"/>
      <name val="Calibri"/>
      <family val="2"/>
      <scheme val="minor"/>
    </font>
    <font>
      <sz val="11"/>
      <color rgb="FFA0A0A0"/>
      <name val="Calibri"/>
      <family val="2"/>
      <scheme val="minor"/>
    </font>
    <font>
      <b/>
      <sz val="40"/>
      <color rgb="FFF5F5F5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3791"/>
        <bgColor indexed="64"/>
      </patternFill>
    </fill>
    <fill>
      <patternFill patternType="solid">
        <fgColor rgb="FF0072CE"/>
        <bgColor indexed="64"/>
      </patternFill>
    </fill>
    <fill>
      <patternFill patternType="solid">
        <fgColor rgb="FF2E6DB4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0A0A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2E6DB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45">
    <xf numFmtId="0" fontId="0" fillId="0" borderId="0" xfId="0"/>
    <xf numFmtId="0" fontId="7" fillId="0" borderId="1" xfId="0" applyFont="1" applyBorder="1" applyAlignment="1">
      <alignment horizontal="left" vertical="center" wrapText="1" indent="1" readingOrder="1"/>
    </xf>
    <xf numFmtId="0" fontId="5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3" borderId="2" xfId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1" fillId="0" borderId="2" xfId="0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9" fillId="3" borderId="1" xfId="0" applyFont="1" applyFill="1" applyBorder="1" applyAlignment="1">
      <alignment horizontal="left" vertical="center" wrapText="1" indent="1" readingOrder="1"/>
    </xf>
    <xf numFmtId="0" fontId="10" fillId="3" borderId="1" xfId="0" applyFont="1" applyFill="1" applyBorder="1" applyAlignment="1">
      <alignment horizontal="left" vertical="center" wrapText="1" indent="1" readingOrder="1"/>
    </xf>
    <xf numFmtId="0" fontId="11" fillId="3" borderId="1" xfId="0" applyFont="1" applyFill="1" applyBorder="1" applyAlignment="1">
      <alignment horizontal="left" vertical="center" wrapText="1" indent="1" readingOrder="1"/>
    </xf>
    <xf numFmtId="0" fontId="9" fillId="4" borderId="1" xfId="0" applyFont="1" applyFill="1" applyBorder="1" applyAlignment="1">
      <alignment horizontal="left" vertical="center" wrapText="1" indent="1" readingOrder="1"/>
    </xf>
    <xf numFmtId="0" fontId="10" fillId="4" borderId="1" xfId="0" applyFont="1" applyFill="1" applyBorder="1" applyAlignment="1">
      <alignment horizontal="left" vertical="center" wrapText="1" indent="1" readingOrder="1"/>
    </xf>
    <xf numFmtId="0" fontId="11" fillId="4" borderId="1" xfId="0" applyFont="1" applyFill="1" applyBorder="1" applyAlignment="1">
      <alignment horizontal="left" vertical="center" wrapText="1" indent="1" readingOrder="1"/>
    </xf>
    <xf numFmtId="0" fontId="9" fillId="5" borderId="1" xfId="0" applyFont="1" applyFill="1" applyBorder="1" applyAlignment="1">
      <alignment horizontal="left" vertical="center" wrapText="1" indent="1" readingOrder="1"/>
    </xf>
    <xf numFmtId="0" fontId="10" fillId="5" borderId="1" xfId="0" applyFont="1" applyFill="1" applyBorder="1" applyAlignment="1">
      <alignment horizontal="left" vertical="center" wrapText="1" indent="1" readingOrder="1"/>
    </xf>
    <xf numFmtId="0" fontId="11" fillId="5" borderId="1" xfId="0" applyFont="1" applyFill="1" applyBorder="1" applyAlignment="1">
      <alignment horizontal="left" vertical="center" wrapText="1" indent="1" readingOrder="1"/>
    </xf>
    <xf numFmtId="0" fontId="9" fillId="6" borderId="1" xfId="0" applyFont="1" applyFill="1" applyBorder="1" applyAlignment="1">
      <alignment horizontal="left" vertical="center" wrapText="1" indent="1" readingOrder="1"/>
    </xf>
    <xf numFmtId="0" fontId="10" fillId="6" borderId="1" xfId="0" applyFont="1" applyFill="1" applyBorder="1" applyAlignment="1">
      <alignment horizontal="left" vertical="center" wrapText="1" indent="1" readingOrder="1"/>
    </xf>
    <xf numFmtId="0" fontId="11" fillId="6" borderId="1" xfId="0" applyFont="1" applyFill="1" applyBorder="1" applyAlignment="1">
      <alignment horizontal="left" vertical="center" wrapText="1" indent="1" readingOrder="1"/>
    </xf>
    <xf numFmtId="0" fontId="7" fillId="7" borderId="1" xfId="0" applyFont="1" applyFill="1" applyBorder="1" applyAlignment="1">
      <alignment horizontal="left" vertical="center" wrapText="1" indent="1" readingOrder="1"/>
    </xf>
    <xf numFmtId="0" fontId="8" fillId="7" borderId="1" xfId="0" applyFont="1" applyFill="1" applyBorder="1" applyAlignment="1">
      <alignment horizontal="left" vertical="center" wrapText="1" indent="1" readingOrder="1"/>
    </xf>
    <xf numFmtId="0" fontId="6" fillId="7" borderId="1" xfId="0" applyFont="1" applyFill="1" applyBorder="1" applyAlignment="1">
      <alignment horizontal="left" vertical="center" wrapText="1" indent="1" readingOrder="1"/>
    </xf>
    <xf numFmtId="0" fontId="7" fillId="8" borderId="1" xfId="0" applyFont="1" applyFill="1" applyBorder="1" applyAlignment="1">
      <alignment horizontal="left" vertical="center" wrapText="1" indent="1" readingOrder="1"/>
    </xf>
    <xf numFmtId="0" fontId="8" fillId="8" borderId="1" xfId="0" applyFont="1" applyFill="1" applyBorder="1" applyAlignment="1">
      <alignment horizontal="left" vertical="center" wrapText="1" indent="1" readingOrder="1"/>
    </xf>
    <xf numFmtId="0" fontId="6" fillId="8" borderId="1" xfId="0" applyFont="1" applyFill="1" applyBorder="1" applyAlignment="1">
      <alignment horizontal="left" vertical="center" wrapText="1" indent="1" readingOrder="1"/>
    </xf>
    <xf numFmtId="0" fontId="0" fillId="0" borderId="2" xfId="0" applyFill="1" applyBorder="1"/>
    <xf numFmtId="0" fontId="0" fillId="8" borderId="0" xfId="0" applyFill="1"/>
    <xf numFmtId="0" fontId="0" fillId="4" borderId="0" xfId="0" applyFill="1"/>
    <xf numFmtId="0" fontId="0" fillId="3" borderId="0" xfId="0" applyFill="1"/>
    <xf numFmtId="164" fontId="0" fillId="0" borderId="2" xfId="0" applyNumberFormat="1" applyBorder="1"/>
    <xf numFmtId="0" fontId="12" fillId="9" borderId="3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13" fillId="3" borderId="0" xfId="0" applyFont="1" applyFill="1"/>
    <xf numFmtId="0" fontId="0" fillId="3" borderId="9" xfId="0" applyFill="1" applyBorder="1"/>
    <xf numFmtId="0" fontId="14" fillId="3" borderId="9" xfId="0" applyFont="1" applyFill="1" applyBorder="1" applyAlignment="1">
      <alignment horizontal="left" indent="12"/>
    </xf>
  </cellXfs>
  <cellStyles count="2">
    <cellStyle name="Ênfase1" xfId="1" builtinId="29"/>
    <cellStyle name="Normal" xfId="0" builtinId="0"/>
  </cellStyles>
  <dxfs count="2">
    <dxf>
      <font>
        <b/>
        <i val="0"/>
        <color rgb="FFF5F5F5"/>
        <name val="Segoe UI"/>
        <family val="2"/>
        <scheme val="none"/>
      </font>
      <border>
        <bottom style="thick">
          <color rgb="FF003791"/>
        </bottom>
        <vertical/>
        <horizontal/>
      </border>
    </dxf>
    <dxf>
      <font>
        <color theme="1"/>
      </font>
      <fill>
        <patternFill patternType="solid">
          <bgColor rgb="FF0072CE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Estilo de Segmentação de Dados 1" pivot="0" table="0" count="0" xr9:uid="{5BB1EB67-EC92-4ADE-B102-C55F80708469}"/>
    <tableStyle name="Estilo de Segmentação de Dados 2" pivot="0" table="0" count="0" xr9:uid="{E023FDC1-DA57-48DD-A504-670635369097}"/>
    <tableStyle name="SlicerStyleLight1 2" pivot="0" table="0" count="10" xr9:uid="{84F54597-8813-4A6F-8C75-2485EA6EFCFC}">
      <tableStyleElement type="wholeTable" dxfId="1"/>
      <tableStyleElement type="headerRow" dxfId="0"/>
    </tableStyle>
  </tableStyles>
  <colors>
    <mruColors>
      <color rgb="FFF5F5F5"/>
      <color rgb="FF003791"/>
      <color rgb="FF00339A"/>
      <color rgb="FF0B00DE"/>
      <color rgb="FF2E6DB4"/>
      <color rgb="FF3FAE8C"/>
      <color rgb="FF0072CE"/>
      <color rgb="FFF4C430"/>
      <color rgb="FFF29F58"/>
      <color rgb="FFA0A0A0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/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[PROJETO_DASHBOARD.xlsx]CALCULOS!tbl_add_on_cenarios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339A"/>
          </a:solidFill>
          <a:ln w="19050">
            <a:noFill/>
            <a:prstDash val="dash"/>
          </a:ln>
          <a:effectLst/>
        </c:spPr>
      </c:pivotFmt>
      <c:pivotFmt>
        <c:idx val="2"/>
        <c:spPr>
          <a:solidFill>
            <a:srgbClr val="3FAE8C"/>
          </a:solidFill>
          <a:ln w="19050">
            <a:noFill/>
          </a:ln>
          <a:effectLst/>
        </c:spPr>
      </c:pivotFmt>
      <c:pivotFmt>
        <c:idx val="3"/>
        <c:spPr>
          <a:solidFill>
            <a:srgbClr val="2E6DB4"/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FAE8C"/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7"/>
        <c:spPr>
          <a:solidFill>
            <a:srgbClr val="00339A"/>
          </a:solidFill>
          <a:ln w="19050">
            <a:noFill/>
            <a:prstDash val="dash"/>
          </a:ln>
          <a:effectLst/>
        </c:spPr>
      </c:pivotFmt>
      <c:pivotFmt>
        <c:idx val="8"/>
        <c:spPr>
          <a:solidFill>
            <a:srgbClr val="2E6DB4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3FAE8C"/>
          </a:solidFill>
          <a:ln w="19050">
            <a:noFill/>
          </a:ln>
          <a:effectLst/>
        </c:spPr>
      </c:pivotFmt>
      <c:pivotFmt>
        <c:idx val="11"/>
        <c:spPr>
          <a:solidFill>
            <a:schemeClr val="accent1"/>
          </a:solidFill>
          <a:ln w="19050">
            <a:noFill/>
          </a:ln>
          <a:effectLst/>
        </c:spPr>
      </c:pivotFmt>
      <c:pivotFmt>
        <c:idx val="12"/>
        <c:spPr>
          <a:solidFill>
            <a:srgbClr val="00339A"/>
          </a:solidFill>
          <a:ln w="19050">
            <a:noFill/>
            <a:prstDash val="dash"/>
          </a:ln>
          <a:effectLst/>
        </c:spPr>
      </c:pivotFmt>
      <c:pivotFmt>
        <c:idx val="13"/>
        <c:spPr>
          <a:solidFill>
            <a:srgbClr val="2E6DB4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CALCULOS!$B$72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3FAE8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7-4750-835F-C5C06F5FC0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7-4750-835F-C5C06F5FC0FE}"/>
              </c:ext>
            </c:extLst>
          </c:dPt>
          <c:dPt>
            <c:idx val="2"/>
            <c:bubble3D val="0"/>
            <c:spPr>
              <a:solidFill>
                <a:srgbClr val="00339A"/>
              </a:solidFill>
              <a:ln w="19050">
                <a:noFill/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7-4750-835F-C5C06F5FC0FE}"/>
              </c:ext>
            </c:extLst>
          </c:dPt>
          <c:dPt>
            <c:idx val="3"/>
            <c:bubble3D val="0"/>
            <c:spPr>
              <a:solidFill>
                <a:srgbClr val="2E6DB4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07-4750-835F-C5C06F5FC0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CALCULOS!$A$73:$A$77</c:f>
              <c:strCache>
                <c:ptCount val="4"/>
                <c:pt idx="0">
                  <c:v>Fortnite + Ubisoft</c:v>
                </c:pt>
                <c:pt idx="1">
                  <c:v>Nenhum Add-on</c:v>
                </c:pt>
                <c:pt idx="2">
                  <c:v>Somente Fortnite</c:v>
                </c:pt>
                <c:pt idx="3">
                  <c:v>Somente Ubisoft</c:v>
                </c:pt>
              </c:strCache>
            </c:strRef>
          </c:cat>
          <c:val>
            <c:numRef>
              <c:f>CALCULOS!$B$73:$B$77</c:f>
              <c:numCache>
                <c:formatCode>General</c:formatCode>
                <c:ptCount val="4"/>
                <c:pt idx="0">
                  <c:v>117</c:v>
                </c:pt>
                <c:pt idx="1">
                  <c:v>59</c:v>
                </c:pt>
                <c:pt idx="2">
                  <c:v>59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07-4750-835F-C5C06F5FC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290157480314957"/>
          <c:y val="0.36107830271216096"/>
          <c:w val="0.29209842519685042"/>
          <c:h val="0.37969524642752989"/>
        </c:manualLayout>
      </c:layout>
      <c:overlay val="0"/>
      <c:spPr>
        <a:noFill/>
        <a:ln w="22225"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[PROJETO_DASHBOARD.xlsx]CALCULOS!tbl_faturamento_plano</c:name>
    <c:fmtId val="5"/>
  </c:pivotSource>
  <c:chart>
    <c:autoTitleDeleted val="1"/>
    <c:pivotFmts>
      <c:pivotFmt>
        <c:idx val="0"/>
        <c:spPr>
          <a:solidFill>
            <a:srgbClr val="00339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none" lIns="36000" tIns="19050" rIns="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379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00339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none" lIns="36000" tIns="19050" rIns="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379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00339A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horzOverflow="clip" vert="horz" wrap="none" lIns="36000" tIns="19050" rIns="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379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5151579546532587"/>
          <c:y val="5.0925773281093198E-2"/>
          <c:w val="0.69496910476551876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339A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none" lIns="36000" tIns="19050" rIns="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3791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CALCULOS!$A$6:$A$9</c:f>
              <c:strCache>
                <c:ptCount val="3"/>
                <c:pt idx="0">
                  <c:v>Anual</c:v>
                </c:pt>
                <c:pt idx="1">
                  <c:v>Mensal</c:v>
                </c:pt>
                <c:pt idx="2">
                  <c:v>Trimestral</c:v>
                </c:pt>
              </c:strCache>
            </c:strRef>
          </c:cat>
          <c:val>
            <c:numRef>
              <c:f>CALCULOS!$B$6:$B$9</c:f>
              <c:numCache>
                <c:formatCode>General</c:formatCode>
                <c:ptCount val="3"/>
                <c:pt idx="0">
                  <c:v>48250.200000000099</c:v>
                </c:pt>
                <c:pt idx="1">
                  <c:v>5593.1999999999944</c:v>
                </c:pt>
                <c:pt idx="2">
                  <c:v>8254.0999999999913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7-44DA-9D32-4EB2AA106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190399"/>
        <c:axId val="845190815"/>
      </c:barChart>
      <c:catAx>
        <c:axId val="84519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5190815"/>
        <c:crosses val="autoZero"/>
        <c:auto val="1"/>
        <c:lblAlgn val="ctr"/>
        <c:lblOffset val="100"/>
        <c:noMultiLvlLbl val="0"/>
      </c:catAx>
      <c:valAx>
        <c:axId val="8451908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519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microsoft.com/office/2007/relationships/hdphoto" Target="../media/hdphoto2.wdp"/><Relationship Id="rId1" Type="http://schemas.openxmlformats.org/officeDocument/2006/relationships/image" Target="../media/image5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14</xdr:row>
      <xdr:rowOff>114299</xdr:rowOff>
    </xdr:from>
    <xdr:to>
      <xdr:col>2</xdr:col>
      <xdr:colOff>723900</xdr:colOff>
      <xdr:row>28</xdr:row>
      <xdr:rowOff>123824</xdr:rowOff>
    </xdr:to>
    <xdr:pic>
      <xdr:nvPicPr>
        <xdr:cNvPr id="2" name="Imagem 1" descr="ícone de Playstation logo">
          <a:extLst>
            <a:ext uri="{FF2B5EF4-FFF2-40B4-BE49-F238E27FC236}">
              <a16:creationId xmlns:a16="http://schemas.microsoft.com/office/drawing/2014/main" id="{D21DBAA2-FC43-4797-9F7E-DA900B290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71799"/>
          <a:ext cx="2676525" cy="2676525"/>
        </a:xfrm>
        <a:prstGeom prst="rect">
          <a:avLst/>
        </a:prstGeom>
        <a:noFill/>
        <a:ln>
          <a:noFill/>
        </a:ln>
        <a:effectLst>
          <a:glow rad="63500">
            <a:schemeClr val="bg1">
              <a:alpha val="95000"/>
            </a:schemeClr>
          </a:glow>
        </a:effectLst>
      </xdr:spPr>
    </xdr:pic>
    <xdr:clientData/>
  </xdr:twoCellAnchor>
  <xdr:twoCellAnchor editAs="oneCell">
    <xdr:from>
      <xdr:col>2</xdr:col>
      <xdr:colOff>1828799</xdr:colOff>
      <xdr:row>12</xdr:row>
      <xdr:rowOff>98425</xdr:rowOff>
    </xdr:from>
    <xdr:to>
      <xdr:col>7</xdr:col>
      <xdr:colOff>371473</xdr:colOff>
      <xdr:row>27</xdr:row>
      <xdr:rowOff>123824</xdr:rowOff>
    </xdr:to>
    <xdr:pic>
      <xdr:nvPicPr>
        <xdr:cNvPr id="6" name="Imagem 5" descr="Download Fortnite Logo in SVG Vector or PNG File Format - Logo.wine">
          <a:extLst>
            <a:ext uri="{FF2B5EF4-FFF2-40B4-BE49-F238E27FC236}">
              <a16:creationId xmlns:a16="http://schemas.microsoft.com/office/drawing/2014/main" id="{E3548D70-BF14-4D39-8F54-756400C1C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4" y="2574925"/>
          <a:ext cx="4324349" cy="2882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304800</xdr:colOff>
      <xdr:row>42</xdr:row>
      <xdr:rowOff>114300</xdr:rowOff>
    </xdr:to>
    <xdr:sp macro="" textlink="">
      <xdr:nvSpPr>
        <xdr:cNvPr id="1025" name="AutoShape 1" descr="Ubisoft Logo PNG Vectors Free Download">
          <a:extLst>
            <a:ext uri="{FF2B5EF4-FFF2-40B4-BE49-F238E27FC236}">
              <a16:creationId xmlns:a16="http://schemas.microsoft.com/office/drawing/2014/main" id="{9C6E4B1E-064D-41A0-B09E-46948E0E902A}"/>
            </a:ext>
          </a:extLst>
        </xdr:cNvPr>
        <xdr:cNvSpPr>
          <a:spLocks noChangeAspect="1" noChangeArrowheads="1"/>
        </xdr:cNvSpPr>
      </xdr:nvSpPr>
      <xdr:spPr bwMode="auto">
        <a:xfrm>
          <a:off x="6134100" y="80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1370670</xdr:colOff>
      <xdr:row>31</xdr:row>
      <xdr:rowOff>46463</xdr:rowOff>
    </xdr:from>
    <xdr:to>
      <xdr:col>3</xdr:col>
      <xdr:colOff>389828</xdr:colOff>
      <xdr:row>42</xdr:row>
      <xdr:rowOff>132189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E36BB3C-A409-4CFF-944E-E0620ECB7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4450" y="5993780"/>
          <a:ext cx="2364524" cy="21301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169165</xdr:colOff>
      <xdr:row>3</xdr:row>
      <xdr:rowOff>22225</xdr:rowOff>
    </xdr:from>
    <xdr:to>
      <xdr:col>7</xdr:col>
      <xdr:colOff>321342</xdr:colOff>
      <xdr:row>12</xdr:row>
      <xdr:rowOff>98425</xdr:rowOff>
    </xdr:to>
    <xdr:pic>
      <xdr:nvPicPr>
        <xdr:cNvPr id="8" name="Imagem 7" descr="Sua foto do perfil">
          <a:extLst>
            <a:ext uri="{FF2B5EF4-FFF2-40B4-BE49-F238E27FC236}">
              <a16:creationId xmlns:a16="http://schemas.microsoft.com/office/drawing/2014/main" id="{5731D5B1-DBEA-472B-A706-7FA17F711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270" y="593725"/>
          <a:ext cx="1986993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120253</xdr:colOff>
      <xdr:row>0</xdr:row>
      <xdr:rowOff>152400</xdr:rowOff>
    </xdr:from>
    <xdr:to>
      <xdr:col>2</xdr:col>
      <xdr:colOff>225029</xdr:colOff>
      <xdr:row>1</xdr:row>
      <xdr:rowOff>676276</xdr:rowOff>
    </xdr:to>
    <xdr:pic>
      <xdr:nvPicPr>
        <xdr:cNvPr id="4" name="Imagem 3" descr="ícone de Playstation logo">
          <a:extLst>
            <a:ext uri="{FF2B5EF4-FFF2-40B4-BE49-F238E27FC236}">
              <a16:creationId xmlns:a16="http://schemas.microsoft.com/office/drawing/2014/main" id="{FFB799E3-E510-4F21-AE07-D7F43EDB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2453" y="152400"/>
          <a:ext cx="714376" cy="714376"/>
        </a:xfrm>
        <a:prstGeom prst="rect">
          <a:avLst/>
        </a:prstGeom>
        <a:noFill/>
        <a:ln>
          <a:noFill/>
        </a:ln>
        <a:effectLst>
          <a:glow rad="38100">
            <a:schemeClr val="bg1">
              <a:alpha val="44000"/>
            </a:schemeClr>
          </a:glow>
        </a:effectLst>
      </xdr:spPr>
    </xdr:pic>
    <xdr:clientData/>
  </xdr:twoCellAnchor>
  <xdr:twoCellAnchor editAs="absolute">
    <xdr:from>
      <xdr:col>1</xdr:col>
      <xdr:colOff>149578</xdr:colOff>
      <xdr:row>4</xdr:row>
      <xdr:rowOff>96614</xdr:rowOff>
    </xdr:from>
    <xdr:to>
      <xdr:col>8</xdr:col>
      <xdr:colOff>35278</xdr:colOff>
      <xdr:row>18</xdr:row>
      <xdr:rowOff>96614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BBF339BC-128F-413D-B724-6ACE7F590066}"/>
            </a:ext>
          </a:extLst>
        </xdr:cNvPr>
        <xdr:cNvGrpSpPr/>
      </xdr:nvGrpSpPr>
      <xdr:grpSpPr>
        <a:xfrm>
          <a:off x="2511778" y="1392014"/>
          <a:ext cx="4152900" cy="2667000"/>
          <a:chOff x="2466975" y="533400"/>
          <a:chExt cx="5048250" cy="3295649"/>
        </a:xfrm>
      </xdr:grpSpPr>
      <xdr:sp macro="" textlink="CALCULOS!J94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1711FE72-9E61-4B57-9045-8919C6598FCC}"/>
              </a:ext>
            </a:extLst>
          </xdr:cNvPr>
          <xdr:cNvSpPr/>
        </xdr:nvSpPr>
        <xdr:spPr>
          <a:xfrm>
            <a:off x="2466975" y="800100"/>
            <a:ext cx="5048250" cy="3028949"/>
          </a:xfrm>
          <a:prstGeom prst="roundRect">
            <a:avLst>
              <a:gd name="adj" fmla="val 6919"/>
            </a:avLst>
          </a:prstGeom>
          <a:solidFill>
            <a:srgbClr val="F5F5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B0AB269-C1FD-40CD-BA89-F0EF770F896E}" type="TxLink">
              <a:rPr lang="en-US" sz="4000" b="1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t>R$ 62.097,50</a:t>
            </a:fld>
            <a:endParaRPr lang="pt-BR" sz="40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A2264FD0-C8B4-494F-8CC5-0B841F4BBF28}"/>
              </a:ext>
            </a:extLst>
          </xdr:cNvPr>
          <xdr:cNvSpPr/>
        </xdr:nvSpPr>
        <xdr:spPr>
          <a:xfrm>
            <a:off x="2466975" y="533400"/>
            <a:ext cx="5048250" cy="571500"/>
          </a:xfrm>
          <a:prstGeom prst="round2SameRect">
            <a:avLst/>
          </a:prstGeom>
          <a:solidFill>
            <a:srgbClr val="00379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rgbClr val="F5F5F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solidFill>
                  <a:srgbClr val="F5F5F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Faturamento</a:t>
            </a:r>
            <a:endParaRPr lang="pt-BR" sz="1400" b="1">
              <a:solidFill>
                <a:srgbClr val="F5F5F5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16</xdr:col>
      <xdr:colOff>385762</xdr:colOff>
      <xdr:row>19</xdr:row>
      <xdr:rowOff>160884</xdr:rowOff>
    </xdr:from>
    <xdr:to>
      <xdr:col>23</xdr:col>
      <xdr:colOff>271462</xdr:colOff>
      <xdr:row>33</xdr:row>
      <xdr:rowOff>161484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C0E0B29-AB7E-45A7-BFE5-31CAAC2B43BA}"/>
            </a:ext>
          </a:extLst>
        </xdr:cNvPr>
        <xdr:cNvGrpSpPr/>
      </xdr:nvGrpSpPr>
      <xdr:grpSpPr>
        <a:xfrm>
          <a:off x="11891962" y="4313784"/>
          <a:ext cx="4152900" cy="2667600"/>
          <a:chOff x="8729662" y="1143000"/>
          <a:chExt cx="4152900" cy="2695575"/>
        </a:xfrm>
      </xdr:grpSpPr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6C64977E-195B-49D5-AB05-E6CA25C0A00D}"/>
              </a:ext>
            </a:extLst>
          </xdr:cNvPr>
          <xdr:cNvGrpSpPr/>
        </xdr:nvGrpSpPr>
        <xdr:grpSpPr>
          <a:xfrm>
            <a:off x="8729662" y="1143000"/>
            <a:ext cx="4152900" cy="2695575"/>
            <a:chOff x="2466975" y="533400"/>
            <a:chExt cx="5048250" cy="3330960"/>
          </a:xfrm>
        </xdr:grpSpPr>
        <xdr:sp macro="" textlink="CALCULOS!H94">
          <xdr:nvSpPr>
            <xdr:cNvPr id="20" name="Retângulo: Cantos Arredondados 19">
              <a:extLst>
                <a:ext uri="{FF2B5EF4-FFF2-40B4-BE49-F238E27FC236}">
                  <a16:creationId xmlns:a16="http://schemas.microsoft.com/office/drawing/2014/main" id="{46B3951F-79B9-4AA2-99C0-D2075B09CAAB}"/>
                </a:ext>
              </a:extLst>
            </xdr:cNvPr>
            <xdr:cNvSpPr/>
          </xdr:nvSpPr>
          <xdr:spPr>
            <a:xfrm>
              <a:off x="2466975" y="835411"/>
              <a:ext cx="5048250" cy="3028949"/>
            </a:xfrm>
            <a:prstGeom prst="roundRect">
              <a:avLst>
                <a:gd name="adj" fmla="val 6919"/>
              </a:avLst>
            </a:prstGeom>
            <a:solidFill>
              <a:srgbClr val="F5F5F5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4" algn="ctr"/>
              <a:fld id="{6913DE5F-B611-45D9-8923-686A055E62AC}" type="TxLink">
                <a:rPr lang="en-US" sz="4000" b="1" i="0" u="none" strike="noStrike" cap="none" spc="0">
                  <a:ln w="0"/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lvl="4" algn="ctr"/>
                <a:t>59</a:t>
              </a:fld>
              <a:endParaRPr lang="pt-BR" sz="4000" b="1" cap="none" spc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754C168F-AC35-4BD9-93C1-932DF80EBBAF}"/>
                </a:ext>
              </a:extLst>
            </xdr:cNvPr>
            <xdr:cNvSpPr/>
          </xdr:nvSpPr>
          <xdr:spPr>
            <a:xfrm>
              <a:off x="2466975" y="533400"/>
              <a:ext cx="5048250" cy="571500"/>
            </a:xfrm>
            <a:prstGeom prst="round2SameRect">
              <a:avLst/>
            </a:prstGeom>
            <a:solidFill>
              <a:srgbClr val="00379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rgbClr val="F5F5F5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Assinantes Apenas</a:t>
              </a:r>
              <a:r>
                <a:rPr lang="pt-BR" sz="1200" b="1" baseline="0">
                  <a:solidFill>
                    <a:srgbClr val="F5F5F5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Fortnite</a:t>
              </a:r>
              <a:endParaRPr lang="pt-BR" sz="1200" b="1">
                <a:solidFill>
                  <a:srgbClr val="F5F5F5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pic>
        <xdr:nvPicPr>
          <xdr:cNvPr id="22" name="Imagem 21" descr="Download Fortnite Logo in SVG Vector or PNG File Format - Logo.wine">
            <a:extLst>
              <a:ext uri="{FF2B5EF4-FFF2-40B4-BE49-F238E27FC236}">
                <a16:creationId xmlns:a16="http://schemas.microsoft.com/office/drawing/2014/main" id="{58268DEA-607E-43E5-AB42-0C196A6A7B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915400" y="1892300"/>
            <a:ext cx="2352675" cy="15684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16</xdr:col>
      <xdr:colOff>385762</xdr:colOff>
      <xdr:row>4</xdr:row>
      <xdr:rowOff>96614</xdr:rowOff>
    </xdr:from>
    <xdr:to>
      <xdr:col>23</xdr:col>
      <xdr:colOff>271462</xdr:colOff>
      <xdr:row>18</xdr:row>
      <xdr:rowOff>96614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91222CBB-290E-4E54-A263-77C5E8561810}"/>
            </a:ext>
          </a:extLst>
        </xdr:cNvPr>
        <xdr:cNvGrpSpPr/>
      </xdr:nvGrpSpPr>
      <xdr:grpSpPr>
        <a:xfrm>
          <a:off x="11891962" y="1392014"/>
          <a:ext cx="4152900" cy="2667000"/>
          <a:chOff x="2466975" y="533400"/>
          <a:chExt cx="5048250" cy="3295650"/>
        </a:xfrm>
      </xdr:grpSpPr>
      <xdr:sp macro="" textlink="CALCULOS!I94">
        <xdr:nvSpPr>
          <xdr:cNvPr id="38" name="Retângulo: Cantos Arredondados 37">
            <a:extLst>
              <a:ext uri="{FF2B5EF4-FFF2-40B4-BE49-F238E27FC236}">
                <a16:creationId xmlns:a16="http://schemas.microsoft.com/office/drawing/2014/main" id="{C24C0430-6422-484F-A047-EA6F46B9637C}"/>
              </a:ext>
            </a:extLst>
          </xdr:cNvPr>
          <xdr:cNvSpPr/>
        </xdr:nvSpPr>
        <xdr:spPr>
          <a:xfrm>
            <a:off x="2466975" y="800100"/>
            <a:ext cx="5048250" cy="3028950"/>
          </a:xfrm>
          <a:prstGeom prst="roundRect">
            <a:avLst>
              <a:gd name="adj" fmla="val 6919"/>
            </a:avLst>
          </a:prstGeom>
          <a:solidFill>
            <a:srgbClr val="F5F5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4B3433F-EA14-4283-AF96-BB5D16CFEA73}" type="TxLink">
              <a:rPr lang="en-US" sz="4000" b="1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pitchFamily="34" charset="0"/>
                <a:ea typeface="Calibri"/>
                <a:cs typeface="Segoe UI" panose="020B0502040204020203" pitchFamily="34" charset="0"/>
              </a:rPr>
              <a:t>295</a:t>
            </a:fld>
            <a:endParaRPr lang="pt-BR" sz="40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B21D3422-C4A6-4427-8C60-A80E3EF6DEAC}"/>
              </a:ext>
            </a:extLst>
          </xdr:cNvPr>
          <xdr:cNvSpPr/>
        </xdr:nvSpPr>
        <xdr:spPr>
          <a:xfrm>
            <a:off x="2466975" y="533400"/>
            <a:ext cx="5048250" cy="571500"/>
          </a:xfrm>
          <a:prstGeom prst="round2SameRect">
            <a:avLst/>
          </a:prstGeom>
          <a:solidFill>
            <a:srgbClr val="00379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solidFill>
                  <a:srgbClr val="F5F5F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Assinantes</a:t>
            </a:r>
          </a:p>
        </xdr:txBody>
      </xdr:sp>
    </xdr:grpSp>
    <xdr:clientData/>
  </xdr:twoCellAnchor>
  <xdr:twoCellAnchor editAs="absolute">
    <xdr:from>
      <xdr:col>8</xdr:col>
      <xdr:colOff>519113</xdr:colOff>
      <xdr:row>19</xdr:row>
      <xdr:rowOff>161184</xdr:rowOff>
    </xdr:from>
    <xdr:to>
      <xdr:col>15</xdr:col>
      <xdr:colOff>404813</xdr:colOff>
      <xdr:row>33</xdr:row>
      <xdr:rowOff>161184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C6EC18A1-B861-47C2-B6BC-9AF68C21AA85}"/>
            </a:ext>
          </a:extLst>
        </xdr:cNvPr>
        <xdr:cNvGrpSpPr/>
      </xdr:nvGrpSpPr>
      <xdr:grpSpPr>
        <a:xfrm>
          <a:off x="7148513" y="4314084"/>
          <a:ext cx="4152900" cy="2667000"/>
          <a:chOff x="8729662" y="4543425"/>
          <a:chExt cx="4152900" cy="2667000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9399893D-534B-4F11-B634-036193911771}"/>
              </a:ext>
            </a:extLst>
          </xdr:cNvPr>
          <xdr:cNvGrpSpPr/>
        </xdr:nvGrpSpPr>
        <xdr:grpSpPr>
          <a:xfrm>
            <a:off x="8729662" y="4543425"/>
            <a:ext cx="4152900" cy="2667000"/>
            <a:chOff x="2466975" y="533400"/>
            <a:chExt cx="5048250" cy="3295650"/>
          </a:xfrm>
        </xdr:grpSpPr>
        <xdr:sp macro="" textlink="CALCULOS!G94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2EF654A6-EAD3-4BB5-9177-8B6C5F23DA5F}"/>
                </a:ext>
              </a:extLst>
            </xdr:cNvPr>
            <xdr:cNvSpPr/>
          </xdr:nvSpPr>
          <xdr:spPr>
            <a:xfrm>
              <a:off x="2466975" y="800100"/>
              <a:ext cx="5048250" cy="3028950"/>
            </a:xfrm>
            <a:prstGeom prst="roundRect">
              <a:avLst>
                <a:gd name="adj" fmla="val 6919"/>
              </a:avLst>
            </a:prstGeom>
            <a:solidFill>
              <a:srgbClr val="F5F5F5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lvl="2" algn="ctr"/>
              <a:fld id="{C5BB315A-AC1A-4AA2-BD96-F40C5D873AC0}" type="TxLink">
                <a:rPr lang="en-US" sz="4000" b="1" i="0" u="none" strike="noStrike" cap="none" spc="0">
                  <a:ln w="0"/>
                  <a:solidFill>
                    <a:sysClr val="windowText" lastClr="000000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Segoe UI" panose="020B0502040204020203" pitchFamily="34" charset="0"/>
                  <a:ea typeface="Calibri"/>
                  <a:cs typeface="Segoe UI" panose="020B0502040204020203" pitchFamily="34" charset="0"/>
                </a:rPr>
                <a:pPr lvl="2" algn="ctr"/>
                <a:t>60</a:t>
              </a:fld>
              <a:endParaRPr lang="pt-BR" sz="4000" b="1" cap="none" spc="0">
                <a:ln w="0"/>
                <a:solidFill>
                  <a:sysClr val="windowText" lastClr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13B231CF-EBBE-4554-93D5-0DA85D2A5BE4}"/>
                </a:ext>
              </a:extLst>
            </xdr:cNvPr>
            <xdr:cNvSpPr/>
          </xdr:nvSpPr>
          <xdr:spPr>
            <a:xfrm>
              <a:off x="2466975" y="533400"/>
              <a:ext cx="5048250" cy="571500"/>
            </a:xfrm>
            <a:prstGeom prst="round2SameRect">
              <a:avLst/>
            </a:prstGeom>
            <a:solidFill>
              <a:srgbClr val="00379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solidFill>
                    <a:srgbClr val="F5F5F5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Assinantes</a:t>
              </a:r>
              <a:r>
                <a:rPr lang="pt-BR" sz="1200" b="1" baseline="0">
                  <a:solidFill>
                    <a:srgbClr val="F5F5F5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Apenas</a:t>
              </a:r>
              <a:r>
                <a:rPr lang="pt-BR" sz="1200" b="1">
                  <a:solidFill>
                    <a:srgbClr val="F5F5F5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Ubisoft</a:t>
              </a:r>
            </a:p>
          </xdr:txBody>
        </xdr:sp>
      </xdr:grpSp>
      <xdr:pic>
        <xdr:nvPicPr>
          <xdr:cNvPr id="40" name="Imagem 39">
            <a:extLst>
              <a:ext uri="{FF2B5EF4-FFF2-40B4-BE49-F238E27FC236}">
                <a16:creationId xmlns:a16="http://schemas.microsoft.com/office/drawing/2014/main" id="{8E190F35-4EF8-4CEA-9618-3A46983000D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115425" y="5487795"/>
            <a:ext cx="1181100" cy="10640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8</xdr:col>
      <xdr:colOff>519113</xdr:colOff>
      <xdr:row>4</xdr:row>
      <xdr:rowOff>96314</xdr:rowOff>
    </xdr:from>
    <xdr:to>
      <xdr:col>15</xdr:col>
      <xdr:colOff>404813</xdr:colOff>
      <xdr:row>17</xdr:row>
      <xdr:rowOff>148111</xdr:rowOff>
    </xdr:to>
    <xdr:grpSp>
      <xdr:nvGrpSpPr>
        <xdr:cNvPr id="42" name="Agrupar 41">
          <a:extLst>
            <a:ext uri="{FF2B5EF4-FFF2-40B4-BE49-F238E27FC236}">
              <a16:creationId xmlns:a16="http://schemas.microsoft.com/office/drawing/2014/main" id="{F8FC3454-EDB6-44DB-ACBB-4305C05B1B07}"/>
            </a:ext>
          </a:extLst>
        </xdr:cNvPr>
        <xdr:cNvGrpSpPr/>
      </xdr:nvGrpSpPr>
      <xdr:grpSpPr>
        <a:xfrm>
          <a:off x="7148513" y="1391714"/>
          <a:ext cx="4152900" cy="2528297"/>
          <a:chOff x="2466975" y="533400"/>
          <a:chExt cx="5048250" cy="3295650"/>
        </a:xfrm>
      </xdr:grpSpPr>
      <xdr:sp macro="" textlink="CALCULOS!I94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0850F019-399D-4508-9431-59884EE7590D}"/>
              </a:ext>
            </a:extLst>
          </xdr:cNvPr>
          <xdr:cNvSpPr/>
        </xdr:nvSpPr>
        <xdr:spPr>
          <a:xfrm>
            <a:off x="2466975" y="800100"/>
            <a:ext cx="5048250" cy="3028950"/>
          </a:xfrm>
          <a:prstGeom prst="roundRect">
            <a:avLst>
              <a:gd name="adj" fmla="val 6919"/>
            </a:avLst>
          </a:prstGeom>
          <a:solidFill>
            <a:srgbClr val="F5F5F5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4000" b="1" cap="none" spc="0">
              <a:ln w="0"/>
              <a:solidFill>
                <a:sysClr val="windowText" lastClr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4" name="Retângulo: Cantos Superiores Arredondados 43">
            <a:extLst>
              <a:ext uri="{FF2B5EF4-FFF2-40B4-BE49-F238E27FC236}">
                <a16:creationId xmlns:a16="http://schemas.microsoft.com/office/drawing/2014/main" id="{45BF334A-7682-42B5-99F6-565EB03F1866}"/>
              </a:ext>
            </a:extLst>
          </xdr:cNvPr>
          <xdr:cNvSpPr/>
        </xdr:nvSpPr>
        <xdr:spPr>
          <a:xfrm>
            <a:off x="2466975" y="533400"/>
            <a:ext cx="5048250" cy="571500"/>
          </a:xfrm>
          <a:prstGeom prst="round2SameRect">
            <a:avLst/>
          </a:prstGeom>
          <a:solidFill>
            <a:srgbClr val="00379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rgbClr val="F5F5F5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de Assinantes</a:t>
            </a:r>
          </a:p>
        </xdr:txBody>
      </xdr:sp>
    </xdr:grpSp>
    <xdr:clientData/>
  </xdr:twoCellAnchor>
  <xdr:twoCellAnchor>
    <xdr:from>
      <xdr:col>8</xdr:col>
      <xdr:colOff>519113</xdr:colOff>
      <xdr:row>5</xdr:row>
      <xdr:rowOff>132813</xdr:rowOff>
    </xdr:from>
    <xdr:to>
      <xdr:col>15</xdr:col>
      <xdr:colOff>371475</xdr:colOff>
      <xdr:row>18</xdr:row>
      <xdr:rowOff>128050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00823B6A-20F8-42E3-8F8F-3F3B92A93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114300</xdr:colOff>
      <xdr:row>8</xdr:row>
      <xdr:rowOff>115664</xdr:rowOff>
    </xdr:from>
    <xdr:to>
      <xdr:col>0</xdr:col>
      <xdr:colOff>1943100</xdr:colOff>
      <xdr:row>14</xdr:row>
      <xdr:rowOff>163289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6" name="Plano">
              <a:extLst>
                <a:ext uri="{FF2B5EF4-FFF2-40B4-BE49-F238E27FC236}">
                  <a16:creationId xmlns:a16="http://schemas.microsoft.com/office/drawing/2014/main" id="{EB0AFD86-66BC-41C8-AAD0-7A69D69371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2173064"/>
              <a:ext cx="1828800" cy="1190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114300</xdr:colOff>
      <xdr:row>3</xdr:row>
      <xdr:rowOff>95251</xdr:rowOff>
    </xdr:from>
    <xdr:to>
      <xdr:col>0</xdr:col>
      <xdr:colOff>1943100</xdr:colOff>
      <xdr:row>8</xdr:row>
      <xdr:rowOff>95251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7" name="AutoRenovacao">
              <a:extLst>
                <a:ext uri="{FF2B5EF4-FFF2-40B4-BE49-F238E27FC236}">
                  <a16:creationId xmlns:a16="http://schemas.microsoft.com/office/drawing/2014/main" id="{0EDD46FF-BAAE-4FB0-B038-B83D4E469A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Renovaca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1200151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133350</xdr:colOff>
      <xdr:row>14</xdr:row>
      <xdr:rowOff>163289</xdr:rowOff>
    </xdr:from>
    <xdr:to>
      <xdr:col>0</xdr:col>
      <xdr:colOff>1962150</xdr:colOff>
      <xdr:row>19</xdr:row>
      <xdr:rowOff>163289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AddOn_Ubisoft">
              <a:extLst>
                <a:ext uri="{FF2B5EF4-FFF2-40B4-BE49-F238E27FC236}">
                  <a16:creationId xmlns:a16="http://schemas.microsoft.com/office/drawing/2014/main" id="{06D23DEC-20A4-4FB4-B658-DB8B3B4D1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dOn_Ubisof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3363689"/>
              <a:ext cx="1828800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133350</xdr:colOff>
      <xdr:row>19</xdr:row>
      <xdr:rowOff>104775</xdr:rowOff>
    </xdr:from>
    <xdr:to>
      <xdr:col>0</xdr:col>
      <xdr:colOff>1962150</xdr:colOff>
      <xdr:row>25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9" name="AddOn_Fortnite">
              <a:extLst>
                <a:ext uri="{FF2B5EF4-FFF2-40B4-BE49-F238E27FC236}">
                  <a16:creationId xmlns:a16="http://schemas.microsoft.com/office/drawing/2014/main" id="{AC868F95-FDA6-4BD1-B4E1-0B494AED66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ddOn_Fortni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4257675"/>
              <a:ext cx="1828800" cy="1047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148828</xdr:colOff>
      <xdr:row>19</xdr:row>
      <xdr:rowOff>160884</xdr:rowOff>
    </xdr:from>
    <xdr:to>
      <xdr:col>8</xdr:col>
      <xdr:colOff>32112</xdr:colOff>
      <xdr:row>33</xdr:row>
      <xdr:rowOff>161484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8A4538E-578A-4EFB-BB90-2630856E09F8}"/>
            </a:ext>
          </a:extLst>
        </xdr:cNvPr>
        <xdr:cNvGrpSpPr/>
      </xdr:nvGrpSpPr>
      <xdr:grpSpPr>
        <a:xfrm>
          <a:off x="2511028" y="4313784"/>
          <a:ext cx="4150484" cy="2667600"/>
          <a:chOff x="2511028" y="4313784"/>
          <a:chExt cx="4150484" cy="2667600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AB2382BF-CA0A-4D00-A0B2-79D6050352C7}"/>
              </a:ext>
            </a:extLst>
          </xdr:cNvPr>
          <xdr:cNvGrpSpPr/>
        </xdr:nvGrpSpPr>
        <xdr:grpSpPr>
          <a:xfrm>
            <a:off x="2511028" y="4313784"/>
            <a:ext cx="4150484" cy="2667600"/>
            <a:chOff x="2519362" y="4200525"/>
            <a:chExt cx="5048250" cy="3352800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F39C87C3-99B4-40A1-8AEB-C1667AAC1221}"/>
                </a:ext>
              </a:extLst>
            </xdr:cNvPr>
            <xdr:cNvSpPr/>
          </xdr:nvSpPr>
          <xdr:spPr>
            <a:xfrm>
              <a:off x="2519362" y="4524375"/>
              <a:ext cx="5048250" cy="3028950"/>
            </a:xfrm>
            <a:prstGeom prst="roundRect">
              <a:avLst>
                <a:gd name="adj" fmla="val 6919"/>
              </a:avLst>
            </a:prstGeom>
            <a:solidFill>
              <a:srgbClr val="F5F5F5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  <xdr:sp macro="" textlink="">
          <xdr:nvSpPr>
            <xdr:cNvPr id="11" name="Retângulo: Cantos Superiores Arredondados 10">
              <a:extLst>
                <a:ext uri="{FF2B5EF4-FFF2-40B4-BE49-F238E27FC236}">
                  <a16:creationId xmlns:a16="http://schemas.microsoft.com/office/drawing/2014/main" id="{E641B704-00E9-4295-9E87-B6D9707EF863}"/>
                </a:ext>
              </a:extLst>
            </xdr:cNvPr>
            <xdr:cNvSpPr/>
          </xdr:nvSpPr>
          <xdr:spPr>
            <a:xfrm>
              <a:off x="2519362" y="4200525"/>
              <a:ext cx="5048250" cy="571500"/>
            </a:xfrm>
            <a:prstGeom prst="round2SameRect">
              <a:avLst/>
            </a:prstGeom>
            <a:solidFill>
              <a:srgbClr val="003791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>
                  <a:solidFill>
                    <a:srgbClr val="F5F5F5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Faturamento Total</a:t>
              </a:r>
              <a:r>
                <a:rPr lang="pt-BR" sz="1400" b="1" baseline="0">
                  <a:solidFill>
                    <a:srgbClr val="F5F5F5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por Período de Pagamento</a:t>
              </a:r>
              <a:endParaRPr lang="pt-BR" sz="1400" b="1">
                <a:solidFill>
                  <a:srgbClr val="F5F5F5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50" name="Gráfico 49">
            <a:extLst>
              <a:ext uri="{FF2B5EF4-FFF2-40B4-BE49-F238E27FC236}">
                <a16:creationId xmlns:a16="http://schemas.microsoft.com/office/drawing/2014/main" id="{EFD376BF-A310-4C00-8D0B-42270EE72108}"/>
              </a:ext>
            </a:extLst>
          </xdr:cNvPr>
          <xdr:cNvGraphicFramePr>
            <a:graphicFrameLocks/>
          </xdr:cNvGraphicFramePr>
        </xdr:nvGraphicFramePr>
        <xdr:xfrm>
          <a:off x="2676525" y="4825228"/>
          <a:ext cx="3952875" cy="215338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0</xdr:col>
      <xdr:colOff>942975</xdr:colOff>
      <xdr:row>1</xdr:row>
      <xdr:rowOff>47625</xdr:rowOff>
    </xdr:from>
    <xdr:to>
      <xdr:col>1</xdr:col>
      <xdr:colOff>0</xdr:colOff>
      <xdr:row>2</xdr:row>
      <xdr:rowOff>47625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A9812E6E-25DF-4FC8-A2DC-3192370C0223}"/>
            </a:ext>
          </a:extLst>
        </xdr:cNvPr>
        <xdr:cNvSpPr txBox="1"/>
      </xdr:nvSpPr>
      <xdr:spPr>
        <a:xfrm>
          <a:off x="942975" y="238125"/>
          <a:ext cx="141922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rgbClr val="F5F5F5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&gt;Bem-Vindo,</a:t>
          </a:r>
          <a:r>
            <a:rPr lang="pt-BR" sz="1200" b="1" baseline="0">
              <a:solidFill>
                <a:srgbClr val="F5F5F5"/>
              </a:solidFill>
              <a:latin typeface="Segoe UI" panose="020B0502040204020203" pitchFamily="34" charset="0"/>
              <a:cs typeface="Segoe UI" panose="020B0502040204020203" pitchFamily="34" charset="0"/>
            </a:rPr>
            <a:t> Dvic!</a:t>
          </a:r>
          <a:endParaRPr lang="pt-BR" sz="1200" b="1">
            <a:solidFill>
              <a:srgbClr val="F5F5F5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76200</xdr:colOff>
      <xdr:row>0</xdr:row>
      <xdr:rowOff>104776</xdr:rowOff>
    </xdr:from>
    <xdr:to>
      <xdr:col>0</xdr:col>
      <xdr:colOff>840428</xdr:colOff>
      <xdr:row>1</xdr:row>
      <xdr:rowOff>676276</xdr:rowOff>
    </xdr:to>
    <xdr:pic>
      <xdr:nvPicPr>
        <xdr:cNvPr id="51" name="Imagem 50" descr="Sua foto do perfil">
          <a:extLst>
            <a:ext uri="{FF2B5EF4-FFF2-40B4-BE49-F238E27FC236}">
              <a16:creationId xmlns:a16="http://schemas.microsoft.com/office/drawing/2014/main" id="{2C8FFC27-E815-469F-BEC5-F58C825F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4776"/>
          <a:ext cx="764228" cy="762000"/>
        </a:xfrm>
        <a:prstGeom prst="ellipse">
          <a:avLst/>
        </a:prstGeom>
        <a:solidFill>
          <a:schemeClr val="bg1"/>
        </a:solidFill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chau" refreshedDate="46035.480842476849" createdVersion="7" refreshedVersion="7" minRefreshableVersion="3" recordCount="295" xr:uid="{E4710C28-5C03-41D1-A110-AF6EBF2A9CCD}">
  <cacheSource type="worksheet">
    <worksheetSource ref="A1:J296" sheet="BASE"/>
  </cacheSource>
  <cacheFields count="10">
    <cacheField name="ID_Assinante" numFmtId="0">
      <sharedItems/>
    </cacheField>
    <cacheField name="Nome" numFmtId="0">
      <sharedItems/>
    </cacheField>
    <cacheField name="Plano" numFmtId="0">
      <sharedItems count="3">
        <s v="Deluxe"/>
        <s v="Essential"/>
        <s v="Extra"/>
      </sharedItems>
    </cacheField>
    <cacheField name="Data_Inicio" numFmtId="0">
      <sharedItems/>
    </cacheField>
    <cacheField name="AutoRenovacao" numFmtId="0">
      <sharedItems count="2">
        <s v="Sim"/>
        <s v="Não"/>
      </sharedItems>
    </cacheField>
    <cacheField name="Periodo_Pagamento" numFmtId="0">
      <sharedItems count="3">
        <s v="Anual"/>
        <s v="Mensal"/>
        <s v="Trimestral"/>
      </sharedItems>
    </cacheField>
    <cacheField name="AddOn_Ubisoft" numFmtId="0">
      <sharedItems count="2">
        <s v="Sim"/>
        <s v="Não"/>
      </sharedItems>
    </cacheField>
    <cacheField name="AddOn_Fortnite" numFmtId="0">
      <sharedItems count="2">
        <s v="Sim"/>
        <s v="Não"/>
      </sharedItems>
    </cacheField>
    <cacheField name="Valor_Plano" numFmtId="0">
      <sharedItems containsSemiMixedTypes="0" containsString="0" containsNumber="1" minValue="34.9" maxValue="538.9"/>
    </cacheField>
    <cacheField name="Cenário_AddOn" numFmtId="0">
      <sharedItems count="4">
        <s v="Fortnite + Ubisoft"/>
        <s v="Nenhum Add-on"/>
        <s v="Somente Ubisoft"/>
        <s v="Somente Fortnite"/>
      </sharedItems>
    </cacheField>
  </cacheFields>
  <extLst>
    <ext xmlns:x14="http://schemas.microsoft.com/office/spreadsheetml/2009/9/main" uri="{725AE2AE-9491-48be-B2B4-4EB974FC3084}">
      <x14:pivotCacheDefinition pivotCacheId="7188952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PS-1001"/>
    <s v="João Silva"/>
    <x v="0"/>
    <s v="21/10/2025"/>
    <x v="0"/>
    <x v="0"/>
    <x v="0"/>
    <x v="0"/>
    <n v="538.9"/>
    <x v="0"/>
  </r>
  <r>
    <s v="PS-1002"/>
    <s v="Maria Oliveira"/>
    <x v="1"/>
    <s v="09/01/2025"/>
    <x v="1"/>
    <x v="1"/>
    <x v="1"/>
    <x v="1"/>
    <n v="34.9"/>
    <x v="1"/>
  </r>
  <r>
    <s v="PS-1003"/>
    <s v="Lucas Fernandes"/>
    <x v="2"/>
    <s v="18/06/2025"/>
    <x v="0"/>
    <x v="2"/>
    <x v="0"/>
    <x v="1"/>
    <n v="139.9"/>
    <x v="2"/>
  </r>
  <r>
    <s v="PS-1004"/>
    <s v="Ana Souza"/>
    <x v="0"/>
    <s v="06/05/2025"/>
    <x v="0"/>
    <x v="1"/>
    <x v="0"/>
    <x v="0"/>
    <n v="59.9"/>
    <x v="0"/>
  </r>
  <r>
    <s v="PS-1005"/>
    <s v="Pedro Gonçalves"/>
    <x v="1"/>
    <s v="25/07/2025"/>
    <x v="1"/>
    <x v="0"/>
    <x v="1"/>
    <x v="0"/>
    <n v="278.89999999999998"/>
    <x v="3"/>
  </r>
  <r>
    <s v="PS-1006"/>
    <s v="Felipe Costa"/>
    <x v="0"/>
    <s v="26/12/2025"/>
    <x v="0"/>
    <x v="0"/>
    <x v="0"/>
    <x v="1"/>
    <n v="538.9"/>
    <x v="2"/>
  </r>
  <r>
    <s v="PS-1007"/>
    <s v="Camila Ribeiro"/>
    <x v="1"/>
    <s v="23/03/2025"/>
    <x v="1"/>
    <x v="1"/>
    <x v="1"/>
    <x v="1"/>
    <n v="34.9"/>
    <x v="1"/>
  </r>
  <r>
    <s v="PS-1008"/>
    <s v="André Mendes"/>
    <x v="2"/>
    <s v="02/07/2025"/>
    <x v="0"/>
    <x v="2"/>
    <x v="0"/>
    <x v="1"/>
    <n v="139.9"/>
    <x v="2"/>
  </r>
  <r>
    <s v="PS-1009"/>
    <s v="Sofia Almeida"/>
    <x v="0"/>
    <s v="26/05/2025"/>
    <x v="0"/>
    <x v="1"/>
    <x v="0"/>
    <x v="0"/>
    <n v="59.9"/>
    <x v="0"/>
  </r>
  <r>
    <s v="PS-1010"/>
    <s v="Bruno Martins"/>
    <x v="1"/>
    <s v="23/02/2025"/>
    <x v="0"/>
    <x v="0"/>
    <x v="1"/>
    <x v="0"/>
    <n v="278.89999999999998"/>
    <x v="3"/>
  </r>
  <r>
    <s v="PS-1011"/>
    <s v="Rita Castro"/>
    <x v="0"/>
    <s v="21/11/2025"/>
    <x v="0"/>
    <x v="0"/>
    <x v="0"/>
    <x v="0"/>
    <n v="538.9"/>
    <x v="0"/>
  </r>
  <r>
    <s v="PS-1012"/>
    <s v="Marco Túlio"/>
    <x v="1"/>
    <s v="25/01/2025"/>
    <x v="0"/>
    <x v="1"/>
    <x v="1"/>
    <x v="1"/>
    <n v="34.9"/>
    <x v="1"/>
  </r>
  <r>
    <s v="PS-1013"/>
    <s v="Lívia Silveira"/>
    <x v="2"/>
    <s v="08/09/2025"/>
    <x v="0"/>
    <x v="2"/>
    <x v="0"/>
    <x v="1"/>
    <n v="139.9"/>
    <x v="2"/>
  </r>
  <r>
    <s v="PS-1014"/>
    <s v="Diogo Sousa"/>
    <x v="0"/>
    <s v="27/04/2025"/>
    <x v="0"/>
    <x v="1"/>
    <x v="0"/>
    <x v="0"/>
    <n v="59.9"/>
    <x v="0"/>
  </r>
  <r>
    <s v="PS-1015"/>
    <s v="Fernanda Lima"/>
    <x v="1"/>
    <s v="17/10/2025"/>
    <x v="1"/>
    <x v="0"/>
    <x v="1"/>
    <x v="0"/>
    <n v="278.89999999999998"/>
    <x v="3"/>
  </r>
  <r>
    <s v="PS-1016"/>
    <s v="Caio Pereira"/>
    <x v="0"/>
    <s v="24/07/2025"/>
    <x v="1"/>
    <x v="0"/>
    <x v="0"/>
    <x v="0"/>
    <n v="538.9"/>
    <x v="0"/>
  </r>
  <r>
    <s v="PS-1017"/>
    <s v="Beatriz Gomes"/>
    <x v="1"/>
    <s v="17/09/2025"/>
    <x v="1"/>
    <x v="1"/>
    <x v="1"/>
    <x v="1"/>
    <n v="34.9"/>
    <x v="1"/>
  </r>
  <r>
    <s v="PS-1018"/>
    <s v="Cesar Oliveira"/>
    <x v="2"/>
    <s v="05/04/2025"/>
    <x v="0"/>
    <x v="2"/>
    <x v="0"/>
    <x v="1"/>
    <n v="139.9"/>
    <x v="2"/>
  </r>
  <r>
    <s v="PS-1019"/>
    <s v="Débora Machado"/>
    <x v="0"/>
    <s v="05/01/2025"/>
    <x v="0"/>
    <x v="1"/>
    <x v="0"/>
    <x v="0"/>
    <n v="59.9"/>
    <x v="0"/>
  </r>
  <r>
    <s v="PS-1020"/>
    <s v="Eduardo Vargas"/>
    <x v="1"/>
    <s v="01/08/2025"/>
    <x v="0"/>
    <x v="0"/>
    <x v="1"/>
    <x v="0"/>
    <n v="278.89999999999998"/>
    <x v="3"/>
  </r>
  <r>
    <s v="PS-1021"/>
    <s v="Gabriela Santos"/>
    <x v="0"/>
    <s v="23/01/2025"/>
    <x v="1"/>
    <x v="0"/>
    <x v="0"/>
    <x v="0"/>
    <n v="538.9"/>
    <x v="0"/>
  </r>
  <r>
    <s v="PS-1022"/>
    <s v="Henrique Dias"/>
    <x v="1"/>
    <s v="16/10/2025"/>
    <x v="1"/>
    <x v="1"/>
    <x v="1"/>
    <x v="1"/>
    <n v="34.9"/>
    <x v="1"/>
  </r>
  <r>
    <s v="PS-1023"/>
    <s v="Isabela Moreira"/>
    <x v="2"/>
    <s v="13/08/2025"/>
    <x v="0"/>
    <x v="2"/>
    <x v="0"/>
    <x v="1"/>
    <n v="139.9"/>
    <x v="2"/>
  </r>
  <r>
    <s v="PS-1024"/>
    <s v="Joaquim Barbosa"/>
    <x v="0"/>
    <s v="31/03/2025"/>
    <x v="0"/>
    <x v="1"/>
    <x v="0"/>
    <x v="0"/>
    <n v="59.9"/>
    <x v="0"/>
  </r>
  <r>
    <s v="PS-1025"/>
    <s v="Lara Rocha"/>
    <x v="1"/>
    <s v="15/01/2025"/>
    <x v="1"/>
    <x v="0"/>
    <x v="1"/>
    <x v="0"/>
    <n v="278.89999999999998"/>
    <x v="3"/>
  </r>
  <r>
    <s v="PS-1026"/>
    <s v="Matheus Silva"/>
    <x v="0"/>
    <s v="10/10/2025"/>
    <x v="0"/>
    <x v="0"/>
    <x v="0"/>
    <x v="0"/>
    <n v="538.9"/>
    <x v="0"/>
  </r>
  <r>
    <s v="PS-1027"/>
    <s v="Nicole Costa"/>
    <x v="1"/>
    <s v="02/04/2025"/>
    <x v="0"/>
    <x v="1"/>
    <x v="1"/>
    <x v="1"/>
    <n v="34.9"/>
    <x v="1"/>
  </r>
  <r>
    <s v="PS-1028"/>
    <s v="Otávio Mendonça"/>
    <x v="2"/>
    <s v="20/10/2025"/>
    <x v="0"/>
    <x v="2"/>
    <x v="0"/>
    <x v="1"/>
    <n v="139.9"/>
    <x v="2"/>
  </r>
  <r>
    <s v="PS-1029"/>
    <s v="Paula Ferreira"/>
    <x v="0"/>
    <s v="07/12/2025"/>
    <x v="1"/>
    <x v="1"/>
    <x v="0"/>
    <x v="0"/>
    <n v="59.9"/>
    <x v="0"/>
  </r>
  <r>
    <s v="PS-1030"/>
    <s v="Raquel Alves"/>
    <x v="1"/>
    <s v="12/11/2025"/>
    <x v="1"/>
    <x v="0"/>
    <x v="1"/>
    <x v="0"/>
    <n v="278.89999999999998"/>
    <x v="3"/>
  </r>
  <r>
    <s v="PS-1031"/>
    <s v="Samuel Pires"/>
    <x v="0"/>
    <s v="11/12/2025"/>
    <x v="0"/>
    <x v="0"/>
    <x v="0"/>
    <x v="0"/>
    <n v="538.9"/>
    <x v="0"/>
  </r>
  <r>
    <s v="PS-1032"/>
    <s v="Tânia Barros"/>
    <x v="1"/>
    <s v="04/07/2025"/>
    <x v="0"/>
    <x v="1"/>
    <x v="1"/>
    <x v="1"/>
    <n v="34.9"/>
    <x v="1"/>
  </r>
  <r>
    <s v="PS-1033"/>
    <s v="Vinicius Lima"/>
    <x v="2"/>
    <s v="04/08/2025"/>
    <x v="0"/>
    <x v="2"/>
    <x v="0"/>
    <x v="1"/>
    <n v="139.9"/>
    <x v="2"/>
  </r>
  <r>
    <s v="PS-1034"/>
    <s v="Yasmin Teixeira"/>
    <x v="0"/>
    <s v="25/09/2025"/>
    <x v="0"/>
    <x v="1"/>
    <x v="0"/>
    <x v="0"/>
    <n v="59.9"/>
    <x v="0"/>
  </r>
  <r>
    <s v="PS-1035"/>
    <s v="Zé Carlos"/>
    <x v="1"/>
    <s v="28/09/2025"/>
    <x v="1"/>
    <x v="0"/>
    <x v="1"/>
    <x v="0"/>
    <n v="278.89999999999998"/>
    <x v="3"/>
  </r>
  <r>
    <s v="PS-1036"/>
    <s v="Amanda Nogueira"/>
    <x v="0"/>
    <s v="31/05/2025"/>
    <x v="0"/>
    <x v="0"/>
    <x v="0"/>
    <x v="0"/>
    <n v="538.9"/>
    <x v="0"/>
  </r>
  <r>
    <s v="PS-1037"/>
    <s v="Bruno Cavalheiro"/>
    <x v="1"/>
    <s v="02/07/2025"/>
    <x v="1"/>
    <x v="1"/>
    <x v="1"/>
    <x v="1"/>
    <n v="34.9"/>
    <x v="1"/>
  </r>
  <r>
    <s v="PS-1038"/>
    <s v="Carla Dias"/>
    <x v="2"/>
    <s v="13/07/2025"/>
    <x v="0"/>
    <x v="2"/>
    <x v="0"/>
    <x v="1"/>
    <n v="139.9"/>
    <x v="2"/>
  </r>
  <r>
    <s v="PS-1039"/>
    <s v="Diego Fontes"/>
    <x v="0"/>
    <s v="26/09/2025"/>
    <x v="0"/>
    <x v="1"/>
    <x v="0"/>
    <x v="0"/>
    <n v="59.9"/>
    <x v="0"/>
  </r>
  <r>
    <s v="PS-1040"/>
    <s v="Eunice Lima"/>
    <x v="1"/>
    <s v="12/09/2025"/>
    <x v="1"/>
    <x v="0"/>
    <x v="1"/>
    <x v="0"/>
    <n v="278.89999999999998"/>
    <x v="3"/>
  </r>
  <r>
    <s v="PS-1041"/>
    <s v="Fábio Martins"/>
    <x v="0"/>
    <s v="22/09/2025"/>
    <x v="0"/>
    <x v="0"/>
    <x v="0"/>
    <x v="0"/>
    <n v="538.9"/>
    <x v="0"/>
  </r>
  <r>
    <s v="PS-1042"/>
    <s v="Gisele Araújo"/>
    <x v="1"/>
    <s v="30/10/2025"/>
    <x v="1"/>
    <x v="1"/>
    <x v="1"/>
    <x v="1"/>
    <n v="34.9"/>
    <x v="1"/>
  </r>
  <r>
    <s v="PS-1043"/>
    <s v="Hélio Castro"/>
    <x v="2"/>
    <s v="10/08/2025"/>
    <x v="0"/>
    <x v="2"/>
    <x v="0"/>
    <x v="1"/>
    <n v="139.9"/>
    <x v="2"/>
  </r>
  <r>
    <s v="PS-1044"/>
    <s v="Ingrid Menezes"/>
    <x v="0"/>
    <s v="08/03/2025"/>
    <x v="0"/>
    <x v="1"/>
    <x v="0"/>
    <x v="0"/>
    <n v="59.9"/>
    <x v="0"/>
  </r>
  <r>
    <s v="PS-1045"/>
    <s v="Jorge Baptista"/>
    <x v="1"/>
    <s v="24/04/2025"/>
    <x v="0"/>
    <x v="0"/>
    <x v="1"/>
    <x v="0"/>
    <n v="278.89999999999998"/>
    <x v="3"/>
  </r>
  <r>
    <s v="PS-1046"/>
    <s v="Kléber Oliveira"/>
    <x v="0"/>
    <s v="02/06/2025"/>
    <x v="1"/>
    <x v="0"/>
    <x v="0"/>
    <x v="0"/>
    <n v="538.9"/>
    <x v="0"/>
  </r>
  <r>
    <s v="PS-1047"/>
    <s v="Luciana Freitas"/>
    <x v="1"/>
    <s v="22/12/2025"/>
    <x v="1"/>
    <x v="1"/>
    <x v="1"/>
    <x v="1"/>
    <n v="34.9"/>
    <x v="1"/>
  </r>
  <r>
    <s v="PS-1048"/>
    <s v="Márcia Eller"/>
    <x v="2"/>
    <s v="06/02/2025"/>
    <x v="0"/>
    <x v="2"/>
    <x v="0"/>
    <x v="1"/>
    <n v="139.9"/>
    <x v="2"/>
  </r>
  <r>
    <s v="PS-1049"/>
    <s v="Nilo Peçanha"/>
    <x v="0"/>
    <s v="15/03/2025"/>
    <x v="0"/>
    <x v="1"/>
    <x v="0"/>
    <x v="0"/>
    <n v="59.9"/>
    <x v="0"/>
  </r>
  <r>
    <s v="PS-1050"/>
    <s v="Oscar Neves"/>
    <x v="1"/>
    <s v="29/06/2025"/>
    <x v="0"/>
    <x v="0"/>
    <x v="1"/>
    <x v="0"/>
    <n v="278.89999999999998"/>
    <x v="3"/>
  </r>
  <r>
    <s v="PS-1051"/>
    <s v="Patrícia Soares"/>
    <x v="0"/>
    <s v="01/08/2025"/>
    <x v="0"/>
    <x v="0"/>
    <x v="0"/>
    <x v="0"/>
    <n v="538.9"/>
    <x v="0"/>
  </r>
  <r>
    <s v="PS-1052"/>
    <s v="Quirino Gonçalves"/>
    <x v="1"/>
    <s v="21/07/2025"/>
    <x v="0"/>
    <x v="1"/>
    <x v="1"/>
    <x v="1"/>
    <n v="34.9"/>
    <x v="1"/>
  </r>
  <r>
    <s v="PS-1053"/>
    <s v="Raul Machado"/>
    <x v="2"/>
    <s v="31/07/2025"/>
    <x v="0"/>
    <x v="2"/>
    <x v="0"/>
    <x v="1"/>
    <n v="139.9"/>
    <x v="2"/>
  </r>
  <r>
    <s v="PS-1054"/>
    <s v="Sônia Lobo"/>
    <x v="0"/>
    <s v="30/12/2025"/>
    <x v="0"/>
    <x v="1"/>
    <x v="0"/>
    <x v="0"/>
    <n v="59.9"/>
    <x v="0"/>
  </r>
  <r>
    <s v="PS-1055"/>
    <s v="Tiago Ramos"/>
    <x v="1"/>
    <s v="21/02/2025"/>
    <x v="1"/>
    <x v="0"/>
    <x v="1"/>
    <x v="0"/>
    <n v="278.89999999999998"/>
    <x v="3"/>
  </r>
  <r>
    <s v="PS-1056"/>
    <s v="Ugo Pires"/>
    <x v="0"/>
    <s v="08/12/2025"/>
    <x v="1"/>
    <x v="0"/>
    <x v="0"/>
    <x v="0"/>
    <n v="538.9"/>
    <x v="0"/>
  </r>
  <r>
    <s v="PS-1057"/>
    <s v="Valéria Nobre"/>
    <x v="1"/>
    <s v="07/08/2025"/>
    <x v="1"/>
    <x v="1"/>
    <x v="1"/>
    <x v="1"/>
    <n v="34.9"/>
    <x v="1"/>
  </r>
  <r>
    <s v="PS-1058"/>
    <s v="William Siqueira"/>
    <x v="2"/>
    <s v="17/03/2025"/>
    <x v="0"/>
    <x v="2"/>
    <x v="0"/>
    <x v="1"/>
    <n v="139.9"/>
    <x v="2"/>
  </r>
  <r>
    <s v="PS-1059"/>
    <s v="Xuxa Meneghel"/>
    <x v="0"/>
    <s v="07/09/2025"/>
    <x v="0"/>
    <x v="1"/>
    <x v="0"/>
    <x v="0"/>
    <n v="59.9"/>
    <x v="0"/>
  </r>
  <r>
    <s v="PS-1060"/>
    <s v="Yara Figueiredo"/>
    <x v="1"/>
    <s v="16/10/2025"/>
    <x v="0"/>
    <x v="0"/>
    <x v="1"/>
    <x v="0"/>
    <n v="278.89999999999998"/>
    <x v="3"/>
  </r>
  <r>
    <s v="PS-1061"/>
    <s v="Zacarias Alves"/>
    <x v="0"/>
    <s v="11/07/2025"/>
    <x v="0"/>
    <x v="0"/>
    <x v="0"/>
    <x v="0"/>
    <n v="538.9"/>
    <x v="0"/>
  </r>
  <r>
    <s v="PS-1062"/>
    <s v="Amanda Bynes"/>
    <x v="1"/>
    <s v="24/09/2025"/>
    <x v="0"/>
    <x v="1"/>
    <x v="1"/>
    <x v="1"/>
    <n v="34.9"/>
    <x v="1"/>
  </r>
  <r>
    <s v="PS-1063"/>
    <s v="Bruno Mars"/>
    <x v="2"/>
    <s v="29/03/2025"/>
    <x v="0"/>
    <x v="2"/>
    <x v="0"/>
    <x v="1"/>
    <n v="139.9"/>
    <x v="2"/>
  </r>
  <r>
    <s v="PS-1064"/>
    <s v="Carla Bruni"/>
    <x v="0"/>
    <s v="27/10/2025"/>
    <x v="0"/>
    <x v="1"/>
    <x v="0"/>
    <x v="0"/>
    <n v="59.9"/>
    <x v="0"/>
  </r>
  <r>
    <s v="PS-1065"/>
    <s v="Diego Maradona"/>
    <x v="1"/>
    <s v="04/06/2025"/>
    <x v="1"/>
    <x v="0"/>
    <x v="1"/>
    <x v="0"/>
    <n v="278.89999999999998"/>
    <x v="3"/>
  </r>
  <r>
    <s v="PS-1066"/>
    <s v="Estela Marques"/>
    <x v="0"/>
    <s v="29/06/2025"/>
    <x v="0"/>
    <x v="0"/>
    <x v="0"/>
    <x v="0"/>
    <n v="538.9"/>
    <x v="0"/>
  </r>
  <r>
    <s v="PS-1067"/>
    <s v="Fábio Nobre"/>
    <x v="1"/>
    <s v="31/10/2025"/>
    <x v="0"/>
    <x v="1"/>
    <x v="1"/>
    <x v="1"/>
    <n v="34.9"/>
    <x v="1"/>
  </r>
  <r>
    <s v="PS-1068"/>
    <s v="Gabriel Oliveira"/>
    <x v="2"/>
    <s v="24/08/2025"/>
    <x v="0"/>
    <x v="2"/>
    <x v="0"/>
    <x v="1"/>
    <n v="139.9"/>
    <x v="2"/>
  </r>
  <r>
    <s v="PS-1069"/>
    <s v="Helena Santos"/>
    <x v="0"/>
    <s v="20/07/2025"/>
    <x v="1"/>
    <x v="1"/>
    <x v="0"/>
    <x v="0"/>
    <n v="59.9"/>
    <x v="0"/>
  </r>
  <r>
    <s v="PS-1070"/>
    <s v="Ivan Carvalho"/>
    <x v="1"/>
    <s v="11/10/2025"/>
    <x v="1"/>
    <x v="0"/>
    <x v="1"/>
    <x v="0"/>
    <n v="278.89999999999998"/>
    <x v="3"/>
  </r>
  <r>
    <s v="PS-1071"/>
    <s v="Júlia Ferreira"/>
    <x v="0"/>
    <s v="07/04/2025"/>
    <x v="0"/>
    <x v="0"/>
    <x v="0"/>
    <x v="0"/>
    <n v="538.9"/>
    <x v="0"/>
  </r>
  <r>
    <s v="PS-1072"/>
    <s v="Karla Alves"/>
    <x v="1"/>
    <s v="03/02/2025"/>
    <x v="1"/>
    <x v="1"/>
    <x v="1"/>
    <x v="1"/>
    <n v="34.9"/>
    <x v="1"/>
  </r>
  <r>
    <s v="PS-1073"/>
    <s v="Lucas Mendes"/>
    <x v="2"/>
    <s v="30/10/2025"/>
    <x v="0"/>
    <x v="2"/>
    <x v="0"/>
    <x v="1"/>
    <n v="139.9"/>
    <x v="2"/>
  </r>
  <r>
    <s v="PS-1074"/>
    <s v="Mônica Gomes"/>
    <x v="0"/>
    <s v="21/05/2025"/>
    <x v="0"/>
    <x v="1"/>
    <x v="0"/>
    <x v="0"/>
    <n v="59.9"/>
    <x v="0"/>
  </r>
  <r>
    <s v="PS-1075"/>
    <s v="Norberto Queiroz"/>
    <x v="1"/>
    <s v="29/03/2025"/>
    <x v="1"/>
    <x v="0"/>
    <x v="1"/>
    <x v="0"/>
    <n v="278.89999999999998"/>
    <x v="3"/>
  </r>
  <r>
    <s v="PS-1076"/>
    <s v="Otávio Barros"/>
    <x v="0"/>
    <s v="20/11/2025"/>
    <x v="0"/>
    <x v="0"/>
    <x v="0"/>
    <x v="0"/>
    <n v="538.9"/>
    <x v="0"/>
  </r>
  <r>
    <s v="PS-1077"/>
    <s v="Paula Vieira"/>
    <x v="1"/>
    <s v="04/11/2025"/>
    <x v="1"/>
    <x v="1"/>
    <x v="1"/>
    <x v="1"/>
    <n v="34.9"/>
    <x v="1"/>
  </r>
  <r>
    <s v="PS-1078"/>
    <s v="Quentin Ramos"/>
    <x v="2"/>
    <s v="04/05/2025"/>
    <x v="0"/>
    <x v="2"/>
    <x v="0"/>
    <x v="1"/>
    <n v="139.9"/>
    <x v="2"/>
  </r>
  <r>
    <s v="PS-1079"/>
    <s v="Raquel Novaes"/>
    <x v="0"/>
    <s v="05/10/2025"/>
    <x v="0"/>
    <x v="1"/>
    <x v="0"/>
    <x v="0"/>
    <n v="59.9"/>
    <x v="0"/>
  </r>
  <r>
    <s v="PS-1080"/>
    <s v="Samantha Lopes"/>
    <x v="1"/>
    <s v="14/03/2025"/>
    <x v="1"/>
    <x v="0"/>
    <x v="1"/>
    <x v="0"/>
    <n v="278.89999999999998"/>
    <x v="3"/>
  </r>
  <r>
    <s v="PS-1081"/>
    <s v="Tiago Martins"/>
    <x v="0"/>
    <s v="06/07/2025"/>
    <x v="0"/>
    <x v="0"/>
    <x v="0"/>
    <x v="0"/>
    <n v="538.9"/>
    <x v="0"/>
  </r>
  <r>
    <s v="PS-1082"/>
    <s v="Ulysses Guimarães"/>
    <x v="1"/>
    <s v="27/07/2025"/>
    <x v="1"/>
    <x v="1"/>
    <x v="1"/>
    <x v="1"/>
    <n v="34.9"/>
    <x v="1"/>
  </r>
  <r>
    <s v="PS-1083"/>
    <s v="Vanessa Silva"/>
    <x v="2"/>
    <s v="18/01/2025"/>
    <x v="0"/>
    <x v="2"/>
    <x v="0"/>
    <x v="1"/>
    <n v="139.9"/>
    <x v="2"/>
  </r>
  <r>
    <s v="PS-1084"/>
    <s v="William Carneiro"/>
    <x v="0"/>
    <s v="06/10/2025"/>
    <x v="1"/>
    <x v="1"/>
    <x v="0"/>
    <x v="0"/>
    <n v="59.9"/>
    <x v="0"/>
  </r>
  <r>
    <s v="PS-1085"/>
    <s v="Ximena Rocha"/>
    <x v="1"/>
    <s v="03/01/2025"/>
    <x v="1"/>
    <x v="0"/>
    <x v="1"/>
    <x v="0"/>
    <n v="278.89999999999998"/>
    <x v="3"/>
  </r>
  <r>
    <s v="PS-1086"/>
    <s v="Yasmin Figueiredo"/>
    <x v="0"/>
    <s v="24/03/2025"/>
    <x v="0"/>
    <x v="0"/>
    <x v="0"/>
    <x v="0"/>
    <n v="538.9"/>
    <x v="0"/>
  </r>
  <r>
    <s v="PS-1087"/>
    <s v="Zara Cunha"/>
    <x v="1"/>
    <s v="18/01/2025"/>
    <x v="0"/>
    <x v="1"/>
    <x v="1"/>
    <x v="1"/>
    <n v="34.9"/>
    <x v="1"/>
  </r>
  <r>
    <s v="PS-1088"/>
    <s v="Alan Teixeira"/>
    <x v="2"/>
    <s v="01/01/2025"/>
    <x v="0"/>
    <x v="2"/>
    <x v="0"/>
    <x v="1"/>
    <n v="139.9"/>
    <x v="2"/>
  </r>
  <r>
    <s v="PS-1089"/>
    <s v="Bárbara Oliveira"/>
    <x v="0"/>
    <s v="21/10/2025"/>
    <x v="0"/>
    <x v="1"/>
    <x v="0"/>
    <x v="0"/>
    <n v="59.9"/>
    <x v="0"/>
  </r>
  <r>
    <s v="PS-1090"/>
    <s v="Carlos Junqueira"/>
    <x v="1"/>
    <s v="09/06/2025"/>
    <x v="1"/>
    <x v="0"/>
    <x v="1"/>
    <x v="0"/>
    <n v="278.89999999999998"/>
    <x v="3"/>
  </r>
  <r>
    <s v="PS-1091"/>
    <s v="Daniela Moura"/>
    <x v="0"/>
    <s v="01/04/2025"/>
    <x v="1"/>
    <x v="0"/>
    <x v="0"/>
    <x v="0"/>
    <n v="538.9"/>
    <x v="0"/>
  </r>
  <r>
    <s v="PS-1092"/>
    <s v="Eduardo Lima"/>
    <x v="1"/>
    <s v="04/05/2025"/>
    <x v="0"/>
    <x v="1"/>
    <x v="1"/>
    <x v="1"/>
    <n v="34.9"/>
    <x v="1"/>
  </r>
  <r>
    <s v="PS-1093"/>
    <s v="Fabiana Araújo"/>
    <x v="2"/>
    <s v="08/06/2025"/>
    <x v="0"/>
    <x v="2"/>
    <x v="0"/>
    <x v="1"/>
    <n v="139.9"/>
    <x v="2"/>
  </r>
  <r>
    <s v="PS-1094"/>
    <s v="Geraldo Ribeiro"/>
    <x v="0"/>
    <s v="06/06/2025"/>
    <x v="0"/>
    <x v="1"/>
    <x v="0"/>
    <x v="0"/>
    <n v="59.9"/>
    <x v="0"/>
  </r>
  <r>
    <s v="PS-1095"/>
    <s v="Héctor Vargas"/>
    <x v="1"/>
    <s v="18/11/2025"/>
    <x v="1"/>
    <x v="0"/>
    <x v="1"/>
    <x v="0"/>
    <n v="278.89999999999998"/>
    <x v="3"/>
  </r>
  <r>
    <s v="PS-1096"/>
    <s v="Isabela Fonseca"/>
    <x v="0"/>
    <s v="05/12/2025"/>
    <x v="0"/>
    <x v="0"/>
    <x v="0"/>
    <x v="0"/>
    <n v="538.9"/>
    <x v="0"/>
  </r>
  <r>
    <s v="PS-1097"/>
    <s v="João Pedro Almeida"/>
    <x v="1"/>
    <s v="07/07/2025"/>
    <x v="0"/>
    <x v="1"/>
    <x v="1"/>
    <x v="1"/>
    <n v="34.9"/>
    <x v="1"/>
  </r>
  <r>
    <s v="PS-1098"/>
    <s v="Klara Costa"/>
    <x v="2"/>
    <s v="21/05/2025"/>
    <x v="0"/>
    <x v="2"/>
    <x v="0"/>
    <x v="1"/>
    <n v="139.9"/>
    <x v="2"/>
  </r>
  <r>
    <s v="PS-1099"/>
    <s v="Luciana Mendes"/>
    <x v="0"/>
    <s v="11/10/2025"/>
    <x v="0"/>
    <x v="1"/>
    <x v="0"/>
    <x v="0"/>
    <n v="59.9"/>
    <x v="0"/>
  </r>
  <r>
    <s v="PS-1100"/>
    <s v="Marcelo Gouveia"/>
    <x v="1"/>
    <s v="19/12/2025"/>
    <x v="1"/>
    <x v="0"/>
    <x v="1"/>
    <x v="0"/>
    <n v="278.89999999999998"/>
    <x v="3"/>
  </r>
  <r>
    <s v="PS-1101"/>
    <s v="Nívea Borges"/>
    <x v="0"/>
    <s v="18/01/2025"/>
    <x v="0"/>
    <x v="0"/>
    <x v="0"/>
    <x v="0"/>
    <n v="538.9"/>
    <x v="0"/>
  </r>
  <r>
    <s v="PS-1102"/>
    <s v="Oscar Nogueira"/>
    <x v="1"/>
    <s v="09/07/2025"/>
    <x v="1"/>
    <x v="1"/>
    <x v="1"/>
    <x v="1"/>
    <n v="34.9"/>
    <x v="1"/>
  </r>
  <r>
    <s v="PS-1103"/>
    <s v="Patrícia Alves"/>
    <x v="2"/>
    <s v="04/02/2025"/>
    <x v="0"/>
    <x v="2"/>
    <x v="0"/>
    <x v="1"/>
    <n v="139.9"/>
    <x v="2"/>
  </r>
  <r>
    <s v="PS-1104"/>
    <s v="Rafaela Silva"/>
    <x v="0"/>
    <s v="16/07/2025"/>
    <x v="0"/>
    <x v="1"/>
    <x v="0"/>
    <x v="0"/>
    <n v="59.9"/>
    <x v="0"/>
  </r>
  <r>
    <s v="PS-1105"/>
    <s v="Samantha Moraes"/>
    <x v="1"/>
    <s v="05/11/2025"/>
    <x v="1"/>
    <x v="0"/>
    <x v="1"/>
    <x v="0"/>
    <n v="278.89999999999998"/>
    <x v="3"/>
  </r>
  <r>
    <s v="PS-1106"/>
    <s v="Tatiana Rocha"/>
    <x v="0"/>
    <s v="17/07/2025"/>
    <x v="1"/>
    <x v="0"/>
    <x v="0"/>
    <x v="0"/>
    <n v="538.9"/>
    <x v="0"/>
  </r>
  <r>
    <s v="PS-1107"/>
    <s v="Ulisses Tavares"/>
    <x v="1"/>
    <s v="13/11/2025"/>
    <x v="1"/>
    <x v="1"/>
    <x v="1"/>
    <x v="1"/>
    <n v="34.9"/>
    <x v="1"/>
  </r>
  <r>
    <s v="PS-1108"/>
    <s v="Víctor Lemos"/>
    <x v="2"/>
    <s v="14/07/2025"/>
    <x v="0"/>
    <x v="2"/>
    <x v="0"/>
    <x v="1"/>
    <n v="139.9"/>
    <x v="2"/>
  </r>
  <r>
    <s v="PS-1109"/>
    <s v="Wilma Barros"/>
    <x v="0"/>
    <s v="21/11/2025"/>
    <x v="0"/>
    <x v="1"/>
    <x v="0"/>
    <x v="0"/>
    <n v="59.9"/>
    <x v="0"/>
  </r>
  <r>
    <s v="PS-1110"/>
    <s v="Xavier Nascimento"/>
    <x v="1"/>
    <s v="22/03/2025"/>
    <x v="1"/>
    <x v="0"/>
    <x v="1"/>
    <x v="0"/>
    <n v="278.89999999999998"/>
    <x v="3"/>
  </r>
  <r>
    <s v="PS-1111"/>
    <s v="Yago Pereira"/>
    <x v="0"/>
    <s v="24/07/2025"/>
    <x v="0"/>
    <x v="0"/>
    <x v="0"/>
    <x v="0"/>
    <n v="538.9"/>
    <x v="0"/>
  </r>
  <r>
    <s v="PS-1112"/>
    <s v="Zilda Ferreira"/>
    <x v="1"/>
    <s v="04/07/2025"/>
    <x v="0"/>
    <x v="1"/>
    <x v="1"/>
    <x v="1"/>
    <n v="34.9"/>
    <x v="1"/>
  </r>
  <r>
    <s v="PS-1113"/>
    <s v="Amanda Lopes"/>
    <x v="2"/>
    <s v="19/05/2025"/>
    <x v="0"/>
    <x v="2"/>
    <x v="0"/>
    <x v="1"/>
    <n v="139.9"/>
    <x v="2"/>
  </r>
  <r>
    <s v="PS-1114"/>
    <s v="Bruno Miranda"/>
    <x v="0"/>
    <s v="17/06/2025"/>
    <x v="0"/>
    <x v="1"/>
    <x v="0"/>
    <x v="0"/>
    <n v="59.9"/>
    <x v="0"/>
  </r>
  <r>
    <s v="PS-1115"/>
    <s v="Célia Torres"/>
    <x v="1"/>
    <s v="26/05/2025"/>
    <x v="1"/>
    <x v="0"/>
    <x v="1"/>
    <x v="0"/>
    <n v="278.89999999999998"/>
    <x v="3"/>
  </r>
  <r>
    <s v="PS-1116"/>
    <s v="Diogo Souza"/>
    <x v="0"/>
    <s v="31/12/2025"/>
    <x v="0"/>
    <x v="0"/>
    <x v="0"/>
    <x v="0"/>
    <n v="538.9"/>
    <x v="0"/>
  </r>
  <r>
    <s v="PS-1117"/>
    <s v="Elisa Castro"/>
    <x v="1"/>
    <s v="15/05/2025"/>
    <x v="1"/>
    <x v="1"/>
    <x v="1"/>
    <x v="1"/>
    <n v="34.9"/>
    <x v="1"/>
  </r>
  <r>
    <s v="PS-1118"/>
    <s v="Fátima Lima"/>
    <x v="2"/>
    <s v="23/09/2025"/>
    <x v="0"/>
    <x v="2"/>
    <x v="0"/>
    <x v="1"/>
    <n v="139.9"/>
    <x v="2"/>
  </r>
  <r>
    <s v="PS-1119"/>
    <s v="Geraldo Ribeiro"/>
    <x v="0"/>
    <s v="05/06/2025"/>
    <x v="0"/>
    <x v="1"/>
    <x v="0"/>
    <x v="0"/>
    <n v="59.9"/>
    <x v="0"/>
  </r>
  <r>
    <s v="PS-1120"/>
    <s v="Hélio Martins"/>
    <x v="1"/>
    <s v="14/08/2025"/>
    <x v="1"/>
    <x v="0"/>
    <x v="1"/>
    <x v="0"/>
    <n v="278.89999999999998"/>
    <x v="3"/>
  </r>
  <r>
    <s v="PS-1121"/>
    <s v="Íris Santos"/>
    <x v="0"/>
    <s v="24/05/2025"/>
    <x v="0"/>
    <x v="0"/>
    <x v="0"/>
    <x v="0"/>
    <n v="538.9"/>
    <x v="0"/>
  </r>
  <r>
    <s v="PS-1122"/>
    <s v="João Marcelo"/>
    <x v="1"/>
    <s v="09/02/2025"/>
    <x v="0"/>
    <x v="1"/>
    <x v="1"/>
    <x v="1"/>
    <n v="34.9"/>
    <x v="1"/>
  </r>
  <r>
    <s v="PS-1123"/>
    <s v="Larissa Gomes"/>
    <x v="2"/>
    <s v="06/09/2025"/>
    <x v="0"/>
    <x v="2"/>
    <x v="0"/>
    <x v="1"/>
    <n v="139.9"/>
    <x v="2"/>
  </r>
  <r>
    <s v="PS-1124"/>
    <s v="Márcio Silva"/>
    <x v="0"/>
    <s v="07/08/2025"/>
    <x v="1"/>
    <x v="1"/>
    <x v="0"/>
    <x v="0"/>
    <n v="59.9"/>
    <x v="0"/>
  </r>
  <r>
    <s v="PS-1125"/>
    <s v="Nadia Costa"/>
    <x v="1"/>
    <s v="19/04/2025"/>
    <x v="1"/>
    <x v="0"/>
    <x v="1"/>
    <x v="0"/>
    <n v="278.89999999999998"/>
    <x v="3"/>
  </r>
  <r>
    <s v="PS-1126"/>
    <s v="Oscar Almeida"/>
    <x v="0"/>
    <s v="09/01/2025"/>
    <x v="0"/>
    <x v="0"/>
    <x v="0"/>
    <x v="0"/>
    <n v="538.9"/>
    <x v="0"/>
  </r>
  <r>
    <s v="PS-1127"/>
    <s v="Patricia Soares"/>
    <x v="1"/>
    <s v="20/07/2025"/>
    <x v="1"/>
    <x v="1"/>
    <x v="1"/>
    <x v="1"/>
    <n v="34.9"/>
    <x v="1"/>
  </r>
  <r>
    <s v="PS-1128"/>
    <s v="Quênia Barros"/>
    <x v="2"/>
    <s v="15/09/2025"/>
    <x v="0"/>
    <x v="2"/>
    <x v="0"/>
    <x v="1"/>
    <n v="139.9"/>
    <x v="2"/>
  </r>
  <r>
    <s v="PS-1129"/>
    <s v="Rafael Torres"/>
    <x v="0"/>
    <s v="07/06/2025"/>
    <x v="0"/>
    <x v="1"/>
    <x v="0"/>
    <x v="0"/>
    <n v="59.9"/>
    <x v="0"/>
  </r>
  <r>
    <s v="PS-1130"/>
    <s v="Silvia Nascimento"/>
    <x v="1"/>
    <s v="24/02/2025"/>
    <x v="0"/>
    <x v="0"/>
    <x v="1"/>
    <x v="0"/>
    <n v="278.89999999999998"/>
    <x v="3"/>
  </r>
  <r>
    <s v="PS-1131"/>
    <s v="Tiago Mendes"/>
    <x v="0"/>
    <s v="26/02/2025"/>
    <x v="0"/>
    <x v="0"/>
    <x v="0"/>
    <x v="0"/>
    <n v="538.9"/>
    <x v="0"/>
  </r>
  <r>
    <s v="PS-1132"/>
    <s v="Ursula Silva"/>
    <x v="1"/>
    <s v="06/03/2025"/>
    <x v="1"/>
    <x v="1"/>
    <x v="1"/>
    <x v="1"/>
    <n v="34.9"/>
    <x v="1"/>
  </r>
  <r>
    <s v="PS-1133"/>
    <s v="Vanessa Moraes"/>
    <x v="2"/>
    <s v="06/12/2025"/>
    <x v="0"/>
    <x v="2"/>
    <x v="0"/>
    <x v="1"/>
    <n v="139.9"/>
    <x v="2"/>
  </r>
  <r>
    <s v="PS-1134"/>
    <s v="Waldir Junior"/>
    <x v="0"/>
    <s v="01/10/2025"/>
    <x v="1"/>
    <x v="1"/>
    <x v="0"/>
    <x v="0"/>
    <n v="59.9"/>
    <x v="0"/>
  </r>
  <r>
    <s v="PS-1135"/>
    <s v="Xavier Lopes"/>
    <x v="1"/>
    <s v="11/03/2025"/>
    <x v="1"/>
    <x v="0"/>
    <x v="1"/>
    <x v="0"/>
    <n v="278.89999999999998"/>
    <x v="3"/>
  </r>
  <r>
    <s v="PS-1136"/>
    <s v="Yolanda Freitas"/>
    <x v="0"/>
    <s v="12/02/2025"/>
    <x v="0"/>
    <x v="0"/>
    <x v="0"/>
    <x v="0"/>
    <n v="538.9"/>
    <x v="0"/>
  </r>
  <r>
    <s v="PS-1137"/>
    <s v="Zacarias Nunes"/>
    <x v="1"/>
    <s v="06/10/2025"/>
    <x v="1"/>
    <x v="1"/>
    <x v="1"/>
    <x v="1"/>
    <n v="34.9"/>
    <x v="1"/>
  </r>
  <r>
    <s v="PS-1138"/>
    <s v="Ana Clara Barreto"/>
    <x v="2"/>
    <s v="07/07/2025"/>
    <x v="0"/>
    <x v="2"/>
    <x v="0"/>
    <x v="1"/>
    <n v="139.9"/>
    <x v="2"/>
  </r>
  <r>
    <s v="PS-1139"/>
    <s v="Bruno Henrique"/>
    <x v="0"/>
    <s v="11/08/2025"/>
    <x v="0"/>
    <x v="1"/>
    <x v="0"/>
    <x v="0"/>
    <n v="59.9"/>
    <x v="0"/>
  </r>
  <r>
    <s v="PS-1140"/>
    <s v="Carlos Eduardo"/>
    <x v="1"/>
    <s v="06/01/2025"/>
    <x v="0"/>
    <x v="0"/>
    <x v="1"/>
    <x v="0"/>
    <n v="278.89999999999998"/>
    <x v="3"/>
  </r>
  <r>
    <s v="PS-1141"/>
    <s v="Débora Lima"/>
    <x v="0"/>
    <s v="19/04/2025"/>
    <x v="1"/>
    <x v="0"/>
    <x v="0"/>
    <x v="0"/>
    <n v="538.9"/>
    <x v="0"/>
  </r>
  <r>
    <s v="PS-1142"/>
    <s v="Elisa Neves"/>
    <x v="1"/>
    <s v="18/09/2025"/>
    <x v="1"/>
    <x v="1"/>
    <x v="1"/>
    <x v="1"/>
    <n v="34.9"/>
    <x v="1"/>
  </r>
  <r>
    <s v="PS-1143"/>
    <s v="Fabiano Gomes"/>
    <x v="2"/>
    <s v="30/09/2025"/>
    <x v="0"/>
    <x v="2"/>
    <x v="0"/>
    <x v="1"/>
    <n v="139.9"/>
    <x v="2"/>
  </r>
  <r>
    <s v="PS-1144"/>
    <s v="Gisele Oliveira"/>
    <x v="0"/>
    <s v="17/10/2025"/>
    <x v="0"/>
    <x v="1"/>
    <x v="0"/>
    <x v="0"/>
    <n v="59.9"/>
    <x v="0"/>
  </r>
  <r>
    <s v="PS-1145"/>
    <s v="Héctor Silva"/>
    <x v="1"/>
    <s v="31/12/2025"/>
    <x v="1"/>
    <x v="0"/>
    <x v="1"/>
    <x v="0"/>
    <n v="278.89999999999998"/>
    <x v="3"/>
  </r>
  <r>
    <s v="PS-1146"/>
    <s v="Igor Martins"/>
    <x v="0"/>
    <s v="20/12/2025"/>
    <x v="0"/>
    <x v="0"/>
    <x v="0"/>
    <x v="0"/>
    <n v="538.9"/>
    <x v="0"/>
  </r>
  <r>
    <s v="PS-1147"/>
    <s v="Joana Figueiredo"/>
    <x v="1"/>
    <s v="04/09/2025"/>
    <x v="0"/>
    <x v="1"/>
    <x v="1"/>
    <x v="1"/>
    <n v="34.9"/>
    <x v="1"/>
  </r>
  <r>
    <s v="PS-1148"/>
    <s v="Kleber Machado"/>
    <x v="2"/>
    <s v="25/12/2025"/>
    <x v="0"/>
    <x v="2"/>
    <x v="0"/>
    <x v="1"/>
    <n v="139.9"/>
    <x v="2"/>
  </r>
  <r>
    <s v="PS-1149"/>
    <s v="Luciana Santos"/>
    <x v="0"/>
    <s v="08/11/2025"/>
    <x v="0"/>
    <x v="1"/>
    <x v="0"/>
    <x v="0"/>
    <n v="59.9"/>
    <x v="0"/>
  </r>
  <r>
    <s v="PS-1150"/>
    <s v="Marcos Teixeira"/>
    <x v="1"/>
    <s v="04/01/2025"/>
    <x v="1"/>
    <x v="0"/>
    <x v="1"/>
    <x v="0"/>
    <n v="278.89999999999998"/>
    <x v="3"/>
  </r>
  <r>
    <s v="PS-1151"/>
    <s v="Natalia Costa"/>
    <x v="0"/>
    <s v="15/09/2025"/>
    <x v="0"/>
    <x v="0"/>
    <x v="0"/>
    <x v="0"/>
    <n v="538.9"/>
    <x v="0"/>
  </r>
  <r>
    <s v="PS-1152"/>
    <s v="Oscar Ribeiro"/>
    <x v="1"/>
    <s v="26/09/2025"/>
    <x v="1"/>
    <x v="1"/>
    <x v="1"/>
    <x v="1"/>
    <n v="34.9"/>
    <x v="1"/>
  </r>
  <r>
    <s v="PS-1153"/>
    <s v="Patricia Almeida"/>
    <x v="2"/>
    <s v="12/02/2025"/>
    <x v="0"/>
    <x v="2"/>
    <x v="0"/>
    <x v="1"/>
    <n v="139.9"/>
    <x v="2"/>
  </r>
  <r>
    <s v="PS-1154"/>
    <s v="Quirino Junior"/>
    <x v="0"/>
    <s v="01/06/2025"/>
    <x v="1"/>
    <x v="1"/>
    <x v="0"/>
    <x v="0"/>
    <n v="59.9"/>
    <x v="0"/>
  </r>
  <r>
    <s v="PS-1155"/>
    <s v="Renata Machado"/>
    <x v="1"/>
    <s v="10/07/2025"/>
    <x v="1"/>
    <x v="0"/>
    <x v="1"/>
    <x v="0"/>
    <n v="278.89999999999998"/>
    <x v="3"/>
  </r>
  <r>
    <s v="PS-1156"/>
    <s v="Sônia Alves"/>
    <x v="0"/>
    <s v="21/06/2025"/>
    <x v="0"/>
    <x v="0"/>
    <x v="0"/>
    <x v="0"/>
    <n v="538.9"/>
    <x v="0"/>
  </r>
  <r>
    <s v="PS-1157"/>
    <s v="Tiago Nunes"/>
    <x v="1"/>
    <s v="23/04/2025"/>
    <x v="1"/>
    <x v="1"/>
    <x v="1"/>
    <x v="1"/>
    <n v="34.9"/>
    <x v="1"/>
  </r>
  <r>
    <s v="PS-1158"/>
    <s v="Ulysses Pereira"/>
    <x v="2"/>
    <s v="21/10/2025"/>
    <x v="0"/>
    <x v="2"/>
    <x v="0"/>
    <x v="1"/>
    <n v="139.9"/>
    <x v="2"/>
  </r>
  <r>
    <s v="PS-1159"/>
    <s v="Vanessa Lima"/>
    <x v="0"/>
    <s v="08/08/2025"/>
    <x v="0"/>
    <x v="1"/>
    <x v="0"/>
    <x v="0"/>
    <n v="59.9"/>
    <x v="0"/>
  </r>
  <r>
    <s v="PS-1160"/>
    <s v="Wagner Santos"/>
    <x v="1"/>
    <s v="18/08/2025"/>
    <x v="1"/>
    <x v="0"/>
    <x v="1"/>
    <x v="0"/>
    <n v="278.89999999999998"/>
    <x v="3"/>
  </r>
  <r>
    <s v="PS-1161"/>
    <s v="Xuxa Meneghel"/>
    <x v="0"/>
    <s v="26/01/2025"/>
    <x v="0"/>
    <x v="0"/>
    <x v="0"/>
    <x v="0"/>
    <n v="538.9"/>
    <x v="0"/>
  </r>
  <r>
    <s v="PS-1162"/>
    <s v="Yasmin Silva"/>
    <x v="1"/>
    <s v="28/03/2025"/>
    <x v="1"/>
    <x v="1"/>
    <x v="1"/>
    <x v="1"/>
    <n v="34.9"/>
    <x v="1"/>
  </r>
  <r>
    <s v="PS-1163"/>
    <s v="Zacarias de Souza"/>
    <x v="2"/>
    <s v="19/09/2025"/>
    <x v="0"/>
    <x v="2"/>
    <x v="0"/>
    <x v="1"/>
    <n v="139.9"/>
    <x v="2"/>
  </r>
  <r>
    <s v="PS-1164"/>
    <s v="André Lima"/>
    <x v="0"/>
    <s v="08/12/2025"/>
    <x v="0"/>
    <x v="1"/>
    <x v="0"/>
    <x v="0"/>
    <n v="59.9"/>
    <x v="0"/>
  </r>
  <r>
    <s v="PS-1165"/>
    <s v="Bianca Freitas"/>
    <x v="1"/>
    <s v="26/09/2025"/>
    <x v="0"/>
    <x v="0"/>
    <x v="1"/>
    <x v="0"/>
    <n v="278.89999999999998"/>
    <x v="3"/>
  </r>
  <r>
    <s v="PS-1166"/>
    <s v="Caio Mendes"/>
    <x v="0"/>
    <s v="02/10/2025"/>
    <x v="1"/>
    <x v="0"/>
    <x v="0"/>
    <x v="0"/>
    <n v="538.9"/>
    <x v="0"/>
  </r>
  <r>
    <s v="PS-1167"/>
    <s v="Daniela Moura"/>
    <x v="1"/>
    <s v="27/06/2025"/>
    <x v="1"/>
    <x v="1"/>
    <x v="1"/>
    <x v="1"/>
    <n v="34.9"/>
    <x v="1"/>
  </r>
  <r>
    <s v="PS-1168"/>
    <s v="Eduardo Costa"/>
    <x v="2"/>
    <s v="07/06/2025"/>
    <x v="0"/>
    <x v="2"/>
    <x v="0"/>
    <x v="1"/>
    <n v="139.9"/>
    <x v="2"/>
  </r>
  <r>
    <s v="PS-1169"/>
    <s v="Fernanda Gomes"/>
    <x v="0"/>
    <s v="22/03/2025"/>
    <x v="0"/>
    <x v="1"/>
    <x v="0"/>
    <x v="0"/>
    <n v="59.9"/>
    <x v="0"/>
  </r>
  <r>
    <s v="PS-1170"/>
    <s v="Guilherme Souza"/>
    <x v="1"/>
    <s v="17/05/2025"/>
    <x v="1"/>
    <x v="0"/>
    <x v="1"/>
    <x v="0"/>
    <n v="278.89999999999998"/>
    <x v="3"/>
  </r>
  <r>
    <s v="PS-1171"/>
    <s v="Helena Ribeiro"/>
    <x v="0"/>
    <s v="29/12/2025"/>
    <x v="0"/>
    <x v="0"/>
    <x v="0"/>
    <x v="0"/>
    <n v="538.9"/>
    <x v="0"/>
  </r>
  <r>
    <s v="PS-1172"/>
    <s v="Igor Santos"/>
    <x v="1"/>
    <s v="03/07/2025"/>
    <x v="1"/>
    <x v="1"/>
    <x v="1"/>
    <x v="1"/>
    <n v="34.9"/>
    <x v="1"/>
  </r>
  <r>
    <s v="PS-1173"/>
    <s v="João Carvalho"/>
    <x v="2"/>
    <s v="05/04/2025"/>
    <x v="0"/>
    <x v="2"/>
    <x v="0"/>
    <x v="1"/>
    <n v="139.9"/>
    <x v="2"/>
  </r>
  <r>
    <s v="PS-1174"/>
    <s v="Klara Fagundes"/>
    <x v="0"/>
    <s v="25/04/2025"/>
    <x v="0"/>
    <x v="1"/>
    <x v="0"/>
    <x v="0"/>
    <n v="59.9"/>
    <x v="0"/>
  </r>
  <r>
    <s v="PS-1175"/>
    <s v="Lúcia Mendonça"/>
    <x v="1"/>
    <s v="26/07/2025"/>
    <x v="1"/>
    <x v="0"/>
    <x v="1"/>
    <x v="0"/>
    <n v="278.89999999999998"/>
    <x v="3"/>
  </r>
  <r>
    <s v="PS-1176"/>
    <s v="Marcelo Novaes"/>
    <x v="0"/>
    <s v="23/12/2025"/>
    <x v="1"/>
    <x v="0"/>
    <x v="0"/>
    <x v="0"/>
    <n v="538.9"/>
    <x v="0"/>
  </r>
  <r>
    <s v="PS-1177"/>
    <s v="Nina Pacheco"/>
    <x v="1"/>
    <s v="04/08/2025"/>
    <x v="1"/>
    <x v="1"/>
    <x v="1"/>
    <x v="1"/>
    <n v="34.9"/>
    <x v="1"/>
  </r>
  <r>
    <s v="PS-1178"/>
    <s v="Olívia Rios"/>
    <x v="2"/>
    <s v="25/01/2025"/>
    <x v="0"/>
    <x v="2"/>
    <x v="0"/>
    <x v="1"/>
    <n v="139.9"/>
    <x v="2"/>
  </r>
  <r>
    <s v="PS-1179"/>
    <s v="Paulo Quintana"/>
    <x v="0"/>
    <s v="15/08/2025"/>
    <x v="0"/>
    <x v="1"/>
    <x v="0"/>
    <x v="0"/>
    <n v="59.9"/>
    <x v="0"/>
  </r>
  <r>
    <s v="PS-1180"/>
    <s v="Raquel Domingos"/>
    <x v="1"/>
    <s v="20/01/2025"/>
    <x v="1"/>
    <x v="0"/>
    <x v="1"/>
    <x v="0"/>
    <n v="278.89999999999998"/>
    <x v="3"/>
  </r>
  <r>
    <s v="PS-1181"/>
    <s v="Samuel Viana"/>
    <x v="0"/>
    <s v="11/09/2025"/>
    <x v="0"/>
    <x v="0"/>
    <x v="0"/>
    <x v="0"/>
    <n v="538.9"/>
    <x v="0"/>
  </r>
  <r>
    <s v="PS-1182"/>
    <s v="Tatiane Rocha"/>
    <x v="1"/>
    <s v="22/07/2025"/>
    <x v="1"/>
    <x v="1"/>
    <x v="1"/>
    <x v="1"/>
    <n v="34.9"/>
    <x v="1"/>
  </r>
  <r>
    <s v="PS-1183"/>
    <s v="Ulysses Farias"/>
    <x v="2"/>
    <s v="30/10/2025"/>
    <x v="0"/>
    <x v="2"/>
    <x v="0"/>
    <x v="1"/>
    <n v="139.9"/>
    <x v="2"/>
  </r>
  <r>
    <s v="PS-1184"/>
    <s v="Vanessa Moreira"/>
    <x v="0"/>
    <s v="16/12/2025"/>
    <x v="0"/>
    <x v="1"/>
    <x v="0"/>
    <x v="0"/>
    <n v="59.9"/>
    <x v="0"/>
  </r>
  <r>
    <s v="PS-1185"/>
    <s v="William Carvalho"/>
    <x v="1"/>
    <s v="05/09/2025"/>
    <x v="0"/>
    <x v="0"/>
    <x v="1"/>
    <x v="0"/>
    <n v="278.89999999999998"/>
    <x v="3"/>
  </r>
  <r>
    <s v="PS-1186"/>
    <s v="Ximena Barros"/>
    <x v="0"/>
    <s v="12/09/2025"/>
    <x v="0"/>
    <x v="0"/>
    <x v="0"/>
    <x v="0"/>
    <n v="538.9"/>
    <x v="0"/>
  </r>
  <r>
    <s v="PS-1187"/>
    <s v="Yara Machado"/>
    <x v="1"/>
    <s v="16/02/2025"/>
    <x v="1"/>
    <x v="1"/>
    <x v="1"/>
    <x v="1"/>
    <n v="34.9"/>
    <x v="1"/>
  </r>
  <r>
    <s v="PS-1188"/>
    <s v="Zacarias Costa"/>
    <x v="2"/>
    <s v="25/04/2025"/>
    <x v="0"/>
    <x v="2"/>
    <x v="0"/>
    <x v="1"/>
    <n v="139.9"/>
    <x v="2"/>
  </r>
  <r>
    <s v="PS-1189"/>
    <s v="André Lopes"/>
    <x v="0"/>
    <s v="12/09/2025"/>
    <x v="1"/>
    <x v="1"/>
    <x v="0"/>
    <x v="0"/>
    <n v="59.9"/>
    <x v="0"/>
  </r>
  <r>
    <s v="PS-1190"/>
    <s v="Beatriz Souza"/>
    <x v="1"/>
    <s v="29/01/2025"/>
    <x v="1"/>
    <x v="0"/>
    <x v="1"/>
    <x v="0"/>
    <n v="278.89999999999998"/>
    <x v="3"/>
  </r>
  <r>
    <s v="PS-1191"/>
    <s v="Caio Pereira"/>
    <x v="0"/>
    <s v="24/05/2025"/>
    <x v="0"/>
    <x v="0"/>
    <x v="0"/>
    <x v="0"/>
    <n v="538.9"/>
    <x v="0"/>
  </r>
  <r>
    <s v="PS-1192"/>
    <s v="Daniela Araújo"/>
    <x v="1"/>
    <s v="17/09/2025"/>
    <x v="1"/>
    <x v="1"/>
    <x v="1"/>
    <x v="1"/>
    <n v="34.9"/>
    <x v="1"/>
  </r>
  <r>
    <s v="PS-1193"/>
    <s v="Eduardo Santos"/>
    <x v="2"/>
    <s v="12/10/2025"/>
    <x v="0"/>
    <x v="2"/>
    <x v="0"/>
    <x v="1"/>
    <n v="139.9"/>
    <x v="2"/>
  </r>
  <r>
    <s v="PS-1194"/>
    <s v="Fernanda Lima"/>
    <x v="0"/>
    <s v="13/10/2025"/>
    <x v="0"/>
    <x v="1"/>
    <x v="0"/>
    <x v="0"/>
    <n v="59.9"/>
    <x v="0"/>
  </r>
  <r>
    <s v="PS-1195"/>
    <s v="Gabriel Teixeira"/>
    <x v="1"/>
    <s v="15/11/2025"/>
    <x v="0"/>
    <x v="0"/>
    <x v="1"/>
    <x v="0"/>
    <n v="278.89999999999998"/>
    <x v="3"/>
  </r>
  <r>
    <s v="PS-1196"/>
    <s v="Helena Ribeiro"/>
    <x v="0"/>
    <s v="24/02/2025"/>
    <x v="1"/>
    <x v="0"/>
    <x v="0"/>
    <x v="0"/>
    <n v="538.9"/>
    <x v="0"/>
  </r>
  <r>
    <s v="PS-1197"/>
    <s v="Igor Mendes"/>
    <x v="1"/>
    <s v="25/08/2025"/>
    <x v="1"/>
    <x v="1"/>
    <x v="1"/>
    <x v="1"/>
    <n v="34.9"/>
    <x v="1"/>
  </r>
  <r>
    <s v="PS-1198"/>
    <s v="Joana Silveira"/>
    <x v="2"/>
    <s v="07/07/2025"/>
    <x v="0"/>
    <x v="2"/>
    <x v="0"/>
    <x v="1"/>
    <n v="139.9"/>
    <x v="2"/>
  </r>
  <r>
    <s v="PS-1199"/>
    <s v="Lucas Martins"/>
    <x v="0"/>
    <s v="10/12/2025"/>
    <x v="0"/>
    <x v="1"/>
    <x v="0"/>
    <x v="0"/>
    <n v="59.9"/>
    <x v="0"/>
  </r>
  <r>
    <s v="PS-1200"/>
    <s v="Marcela Gouveia"/>
    <x v="1"/>
    <s v="25/10/2025"/>
    <x v="1"/>
    <x v="0"/>
    <x v="1"/>
    <x v="0"/>
    <n v="278.89999999999998"/>
    <x v="3"/>
  </r>
  <r>
    <s v="PS-1201"/>
    <s v="Nicolas Borges"/>
    <x v="0"/>
    <s v="07/03/2025"/>
    <x v="0"/>
    <x v="0"/>
    <x v="0"/>
    <x v="0"/>
    <n v="538.9"/>
    <x v="0"/>
  </r>
  <r>
    <s v="PS-1202"/>
    <s v="Olivia Freitas"/>
    <x v="1"/>
    <s v="29/08/2025"/>
    <x v="1"/>
    <x v="1"/>
    <x v="1"/>
    <x v="1"/>
    <n v="34.9"/>
    <x v="1"/>
  </r>
  <r>
    <s v="PS-1203"/>
    <s v="Paulo Nogueira"/>
    <x v="2"/>
    <s v="24/12/2025"/>
    <x v="0"/>
    <x v="2"/>
    <x v="0"/>
    <x v="1"/>
    <n v="139.9"/>
    <x v="2"/>
  </r>
  <r>
    <s v="PS-1204"/>
    <s v="Raquel Andrade"/>
    <x v="0"/>
    <s v="06/07/2025"/>
    <x v="0"/>
    <x v="1"/>
    <x v="0"/>
    <x v="0"/>
    <n v="59.9"/>
    <x v="0"/>
  </r>
  <r>
    <s v="PS-1205"/>
    <s v="Sônia Carvalho"/>
    <x v="1"/>
    <s v="09/10/2025"/>
    <x v="1"/>
    <x v="0"/>
    <x v="1"/>
    <x v="0"/>
    <n v="278.89999999999998"/>
    <x v="3"/>
  </r>
  <r>
    <s v="PS-1206"/>
    <s v="Tiago Rodrigues"/>
    <x v="0"/>
    <s v="13/03/2025"/>
    <x v="0"/>
    <x v="0"/>
    <x v="0"/>
    <x v="0"/>
    <n v="538.9"/>
    <x v="0"/>
  </r>
  <r>
    <s v="PS-1207"/>
    <s v="Ursula Monteiro"/>
    <x v="1"/>
    <s v="07/05/2025"/>
    <x v="0"/>
    <x v="1"/>
    <x v="1"/>
    <x v="1"/>
    <n v="34.9"/>
    <x v="1"/>
  </r>
  <r>
    <s v="PS-1208"/>
    <s v="Vanessa Pereira"/>
    <x v="2"/>
    <s v="20/01/2025"/>
    <x v="0"/>
    <x v="2"/>
    <x v="0"/>
    <x v="1"/>
    <n v="139.9"/>
    <x v="2"/>
  </r>
  <r>
    <s v="PS-1209"/>
    <s v="Walter Silva"/>
    <x v="0"/>
    <s v="03/03/2025"/>
    <x v="1"/>
    <x v="1"/>
    <x v="0"/>
    <x v="0"/>
    <n v="59.9"/>
    <x v="0"/>
  </r>
  <r>
    <s v="PS-1210"/>
    <s v="Xavier Almeida"/>
    <x v="1"/>
    <s v="26/12/2025"/>
    <x v="1"/>
    <x v="0"/>
    <x v="1"/>
    <x v="0"/>
    <n v="278.89999999999998"/>
    <x v="3"/>
  </r>
  <r>
    <s v="PS-1211"/>
    <s v="Yasmine Correia"/>
    <x v="0"/>
    <s v="15/08/2025"/>
    <x v="1"/>
    <x v="0"/>
    <x v="0"/>
    <x v="0"/>
    <n v="538.9"/>
    <x v="0"/>
  </r>
  <r>
    <s v="PS-1212"/>
    <s v="Zacarias Almeida"/>
    <x v="1"/>
    <s v="12/07/2025"/>
    <x v="1"/>
    <x v="1"/>
    <x v="1"/>
    <x v="1"/>
    <n v="34.9"/>
    <x v="1"/>
  </r>
  <r>
    <s v="PS-1213"/>
    <s v="Amanda Costa"/>
    <x v="2"/>
    <s v="26/10/2025"/>
    <x v="0"/>
    <x v="2"/>
    <x v="0"/>
    <x v="1"/>
    <n v="139.9"/>
    <x v="2"/>
  </r>
  <r>
    <s v="PS-1214"/>
    <s v="Bruno Ferreira"/>
    <x v="0"/>
    <s v="29/08/2025"/>
    <x v="0"/>
    <x v="1"/>
    <x v="0"/>
    <x v="0"/>
    <n v="59.9"/>
    <x v="0"/>
  </r>
  <r>
    <s v="PS-1215"/>
    <s v="Carla Dias"/>
    <x v="1"/>
    <s v="31/05/2025"/>
    <x v="1"/>
    <x v="0"/>
    <x v="1"/>
    <x v="0"/>
    <n v="278.89999999999998"/>
    <x v="3"/>
  </r>
  <r>
    <s v="PS-1216"/>
    <s v="Diogo Martins"/>
    <x v="0"/>
    <s v="11/07/2025"/>
    <x v="1"/>
    <x v="0"/>
    <x v="0"/>
    <x v="0"/>
    <n v="538.9"/>
    <x v="0"/>
  </r>
  <r>
    <s v="PS-1217"/>
    <s v="Elisa Campos"/>
    <x v="1"/>
    <s v="12/04/2025"/>
    <x v="0"/>
    <x v="1"/>
    <x v="1"/>
    <x v="1"/>
    <n v="34.9"/>
    <x v="1"/>
  </r>
  <r>
    <s v="PS-1218"/>
    <s v="Fabiana Lima"/>
    <x v="2"/>
    <s v="18/07/2025"/>
    <x v="0"/>
    <x v="2"/>
    <x v="0"/>
    <x v="1"/>
    <n v="139.9"/>
    <x v="2"/>
  </r>
  <r>
    <s v="PS-1219"/>
    <s v="Gabriel Santos"/>
    <x v="0"/>
    <s v="29/12/2025"/>
    <x v="0"/>
    <x v="1"/>
    <x v="0"/>
    <x v="0"/>
    <n v="59.9"/>
    <x v="0"/>
  </r>
  <r>
    <s v="PS-1220"/>
    <s v="Helena Ferreira"/>
    <x v="1"/>
    <s v="23/01/2025"/>
    <x v="1"/>
    <x v="0"/>
    <x v="1"/>
    <x v="0"/>
    <n v="278.89999999999998"/>
    <x v="3"/>
  </r>
  <r>
    <s v="PS-1221"/>
    <s v="Ígor Nunes"/>
    <x v="0"/>
    <s v="08/11/2025"/>
    <x v="1"/>
    <x v="0"/>
    <x v="0"/>
    <x v="0"/>
    <n v="538.9"/>
    <x v="0"/>
  </r>
  <r>
    <s v="PS-1222"/>
    <s v="Joana Silveira"/>
    <x v="1"/>
    <s v="18/01/2025"/>
    <x v="0"/>
    <x v="1"/>
    <x v="1"/>
    <x v="1"/>
    <n v="34.9"/>
    <x v="1"/>
  </r>
  <r>
    <s v="PS-1223"/>
    <s v="Kléber Oliveira"/>
    <x v="2"/>
    <s v="28/05/2025"/>
    <x v="0"/>
    <x v="2"/>
    <x v="0"/>
    <x v="1"/>
    <n v="139.9"/>
    <x v="2"/>
  </r>
  <r>
    <s v="PS-1224"/>
    <s v="Luciana Morais"/>
    <x v="0"/>
    <s v="05/01/2025"/>
    <x v="1"/>
    <x v="1"/>
    <x v="0"/>
    <x v="0"/>
    <n v="59.9"/>
    <x v="0"/>
  </r>
  <r>
    <s v="PS-1225"/>
    <s v="Marcos Vinícius"/>
    <x v="1"/>
    <s v="06/11/2025"/>
    <x v="1"/>
    <x v="0"/>
    <x v="1"/>
    <x v="0"/>
    <n v="278.89999999999998"/>
    <x v="3"/>
  </r>
  <r>
    <s v="PS-1226"/>
    <s v="Natália Barros"/>
    <x v="0"/>
    <s v="28/03/2025"/>
    <x v="1"/>
    <x v="0"/>
    <x v="0"/>
    <x v="0"/>
    <n v="538.9"/>
    <x v="0"/>
  </r>
  <r>
    <s v="PS-1227"/>
    <s v="Oscar Sampaio"/>
    <x v="1"/>
    <s v="19/03/2025"/>
    <x v="1"/>
    <x v="1"/>
    <x v="1"/>
    <x v="1"/>
    <n v="34.9"/>
    <x v="1"/>
  </r>
  <r>
    <s v="PS-1228"/>
    <s v="Patrícia Leite"/>
    <x v="2"/>
    <s v="04/05/2025"/>
    <x v="0"/>
    <x v="2"/>
    <x v="0"/>
    <x v="1"/>
    <n v="139.9"/>
    <x v="2"/>
  </r>
  <r>
    <s v="PS-1229"/>
    <s v="Quênia Rocha"/>
    <x v="0"/>
    <s v="01/02/2025"/>
    <x v="0"/>
    <x v="1"/>
    <x v="0"/>
    <x v="0"/>
    <n v="59.9"/>
    <x v="0"/>
  </r>
  <r>
    <s v="PS-1230"/>
    <s v="Rafael Torres"/>
    <x v="1"/>
    <s v="02/06/2025"/>
    <x v="1"/>
    <x v="0"/>
    <x v="1"/>
    <x v="0"/>
    <n v="278.89999999999998"/>
    <x v="3"/>
  </r>
  <r>
    <s v="PS-1231"/>
    <s v="Sandra Gouveia"/>
    <x v="0"/>
    <s v="29/10/2025"/>
    <x v="0"/>
    <x v="0"/>
    <x v="0"/>
    <x v="0"/>
    <n v="538.9"/>
    <x v="0"/>
  </r>
  <r>
    <s v="PS-1232"/>
    <s v="Tiago Lacerda"/>
    <x v="1"/>
    <s v="14/01/2025"/>
    <x v="0"/>
    <x v="1"/>
    <x v="1"/>
    <x v="1"/>
    <n v="34.9"/>
    <x v="1"/>
  </r>
  <r>
    <s v="PS-1233"/>
    <s v="Ursula Fonseca"/>
    <x v="2"/>
    <s v="24/12/2025"/>
    <x v="0"/>
    <x v="2"/>
    <x v="0"/>
    <x v="1"/>
    <n v="139.9"/>
    <x v="2"/>
  </r>
  <r>
    <s v="PS-1234"/>
    <s v="Vanessa Andrade"/>
    <x v="0"/>
    <s v="28/08/2025"/>
    <x v="1"/>
    <x v="1"/>
    <x v="0"/>
    <x v="0"/>
    <n v="59.9"/>
    <x v="0"/>
  </r>
  <r>
    <s v="PS-1235"/>
    <s v="William Castro"/>
    <x v="1"/>
    <s v="14/04/2025"/>
    <x v="1"/>
    <x v="0"/>
    <x v="1"/>
    <x v="0"/>
    <n v="278.89999999999998"/>
    <x v="3"/>
  </r>
  <r>
    <s v="PS-1236"/>
    <s v="Xavier Monteiro"/>
    <x v="0"/>
    <s v="25/10/2025"/>
    <x v="0"/>
    <x v="0"/>
    <x v="0"/>
    <x v="0"/>
    <n v="538.9"/>
    <x v="0"/>
  </r>
  <r>
    <s v="PS-1237"/>
    <s v="Yasmin Figueira"/>
    <x v="1"/>
    <s v="15/09/2025"/>
    <x v="0"/>
    <x v="1"/>
    <x v="1"/>
    <x v="1"/>
    <n v="34.9"/>
    <x v="1"/>
  </r>
  <r>
    <s v="PS-1238"/>
    <s v="Zacarias Mendonça"/>
    <x v="2"/>
    <s v="23/09/2025"/>
    <x v="0"/>
    <x v="2"/>
    <x v="0"/>
    <x v="1"/>
    <n v="139.9"/>
    <x v="2"/>
  </r>
  <r>
    <s v="PS-1239"/>
    <s v="Amanda Menezes"/>
    <x v="0"/>
    <s v="03/01/2025"/>
    <x v="1"/>
    <x v="1"/>
    <x v="0"/>
    <x v="0"/>
    <n v="59.9"/>
    <x v="0"/>
  </r>
  <r>
    <s v="PS-1240"/>
    <s v="Bruno Santos"/>
    <x v="1"/>
    <s v="10/03/2025"/>
    <x v="1"/>
    <x v="0"/>
    <x v="1"/>
    <x v="0"/>
    <n v="278.89999999999998"/>
    <x v="3"/>
  </r>
  <r>
    <s v="PS-1241"/>
    <s v="Carla Ferreira"/>
    <x v="0"/>
    <s v="27/09/2025"/>
    <x v="1"/>
    <x v="0"/>
    <x v="0"/>
    <x v="0"/>
    <n v="538.9"/>
    <x v="0"/>
  </r>
  <r>
    <s v="PS-1242"/>
    <s v="Diogo Alves"/>
    <x v="1"/>
    <s v="14/09/2025"/>
    <x v="0"/>
    <x v="1"/>
    <x v="1"/>
    <x v="1"/>
    <n v="34.9"/>
    <x v="1"/>
  </r>
  <r>
    <s v="PS-1243"/>
    <s v="Elisa Neves"/>
    <x v="2"/>
    <s v="15/02/2025"/>
    <x v="0"/>
    <x v="2"/>
    <x v="0"/>
    <x v="1"/>
    <n v="139.9"/>
    <x v="2"/>
  </r>
  <r>
    <s v="PS-1244"/>
    <s v="Fabiano Pires"/>
    <x v="0"/>
    <s v="10/05/2025"/>
    <x v="0"/>
    <x v="1"/>
    <x v="0"/>
    <x v="0"/>
    <n v="59.9"/>
    <x v="0"/>
  </r>
  <r>
    <s v="PS-1245"/>
    <s v="Giovana Ribeiro"/>
    <x v="1"/>
    <s v="30/11/2025"/>
    <x v="0"/>
    <x v="0"/>
    <x v="1"/>
    <x v="0"/>
    <n v="278.89999999999998"/>
    <x v="3"/>
  </r>
  <r>
    <s v="PS-1246"/>
    <s v="Hélio Costa"/>
    <x v="0"/>
    <s v="01/09/2025"/>
    <x v="1"/>
    <x v="0"/>
    <x v="0"/>
    <x v="0"/>
    <n v="538.9"/>
    <x v="0"/>
  </r>
  <r>
    <s v="PS-1247"/>
    <s v="Íris Loureiro"/>
    <x v="1"/>
    <s v="31/12/2025"/>
    <x v="1"/>
    <x v="1"/>
    <x v="1"/>
    <x v="1"/>
    <n v="34.9"/>
    <x v="1"/>
  </r>
  <r>
    <s v="PS-1248"/>
    <s v="João Pereira"/>
    <x v="2"/>
    <s v="26/03/2025"/>
    <x v="0"/>
    <x v="2"/>
    <x v="0"/>
    <x v="1"/>
    <n v="139.9"/>
    <x v="2"/>
  </r>
  <r>
    <s v="PS-1249"/>
    <s v="Klara Silva"/>
    <x v="0"/>
    <s v="20/10/2025"/>
    <x v="0"/>
    <x v="1"/>
    <x v="0"/>
    <x v="0"/>
    <n v="59.9"/>
    <x v="0"/>
  </r>
  <r>
    <s v="PS-1250"/>
    <s v="Luciana Barros"/>
    <x v="1"/>
    <s v="22/06/2025"/>
    <x v="1"/>
    <x v="0"/>
    <x v="1"/>
    <x v="0"/>
    <n v="278.89999999999998"/>
    <x v="3"/>
  </r>
  <r>
    <s v="PS-1251"/>
    <s v="Marcos Gomes"/>
    <x v="0"/>
    <s v="02/06/2025"/>
    <x v="1"/>
    <x v="0"/>
    <x v="0"/>
    <x v="0"/>
    <n v="538.9"/>
    <x v="0"/>
  </r>
  <r>
    <s v="PS-1252"/>
    <s v="Natália Soares"/>
    <x v="1"/>
    <s v="15/07/2025"/>
    <x v="1"/>
    <x v="1"/>
    <x v="1"/>
    <x v="1"/>
    <n v="34.9"/>
    <x v="1"/>
  </r>
  <r>
    <s v="PS-1253"/>
    <s v="Oscar Machado"/>
    <x v="2"/>
    <s v="31/08/2025"/>
    <x v="0"/>
    <x v="2"/>
    <x v="0"/>
    <x v="1"/>
    <n v="139.9"/>
    <x v="2"/>
  </r>
  <r>
    <s v="PS-1254"/>
    <s v="Patrícia Lima"/>
    <x v="0"/>
    <s v="18/01/2025"/>
    <x v="0"/>
    <x v="1"/>
    <x v="0"/>
    <x v="0"/>
    <n v="59.9"/>
    <x v="0"/>
  </r>
  <r>
    <s v="PS-1255"/>
    <s v="Quirino Neto"/>
    <x v="1"/>
    <s v="10/09/2025"/>
    <x v="0"/>
    <x v="0"/>
    <x v="1"/>
    <x v="0"/>
    <n v="278.89999999999998"/>
    <x v="3"/>
  </r>
  <r>
    <s v="PS-1256"/>
    <s v="Rafaela Souza"/>
    <x v="0"/>
    <s v="01/08/2025"/>
    <x v="0"/>
    <x v="0"/>
    <x v="0"/>
    <x v="0"/>
    <n v="538.9"/>
    <x v="0"/>
  </r>
  <r>
    <s v="PS-1257"/>
    <s v="Sandro Almeida"/>
    <x v="1"/>
    <s v="11/03/2025"/>
    <x v="1"/>
    <x v="1"/>
    <x v="1"/>
    <x v="1"/>
    <n v="34.9"/>
    <x v="1"/>
  </r>
  <r>
    <s v="PS-1258"/>
    <s v="Tânia Ribeiro"/>
    <x v="2"/>
    <s v="07/02/2025"/>
    <x v="0"/>
    <x v="2"/>
    <x v="0"/>
    <x v="1"/>
    <n v="139.9"/>
    <x v="2"/>
  </r>
  <r>
    <s v="PS-1259"/>
    <s v="Ugo Dias"/>
    <x v="0"/>
    <s v="28/11/2025"/>
    <x v="1"/>
    <x v="1"/>
    <x v="0"/>
    <x v="0"/>
    <n v="59.9"/>
    <x v="0"/>
  </r>
  <r>
    <s v="PS-1260"/>
    <s v="Valéria Lima"/>
    <x v="1"/>
    <s v="06/07/2025"/>
    <x v="1"/>
    <x v="0"/>
    <x v="1"/>
    <x v="0"/>
    <n v="278.89999999999998"/>
    <x v="3"/>
  </r>
  <r>
    <s v="PS-1261"/>
    <s v="William Fernandes"/>
    <x v="0"/>
    <s v="09/01/2025"/>
    <x v="1"/>
    <x v="0"/>
    <x v="0"/>
    <x v="0"/>
    <n v="538.9"/>
    <x v="0"/>
  </r>
  <r>
    <s v="PS-1262"/>
    <s v="Xuxa Mendes"/>
    <x v="1"/>
    <s v="19/01/2025"/>
    <x v="1"/>
    <x v="1"/>
    <x v="1"/>
    <x v="1"/>
    <n v="34.9"/>
    <x v="1"/>
  </r>
  <r>
    <s v="PS-1263"/>
    <s v="Ygor Farias"/>
    <x v="2"/>
    <s v="09/12/2025"/>
    <x v="0"/>
    <x v="2"/>
    <x v="0"/>
    <x v="1"/>
    <n v="139.9"/>
    <x v="2"/>
  </r>
  <r>
    <s v="PS-1264"/>
    <s v="Zilda Barros"/>
    <x v="0"/>
    <s v="19/04/2025"/>
    <x v="0"/>
    <x v="1"/>
    <x v="0"/>
    <x v="0"/>
    <n v="59.9"/>
    <x v="0"/>
  </r>
  <r>
    <s v="PS-1265"/>
    <s v="Amanda Santos"/>
    <x v="1"/>
    <s v="22/05/2025"/>
    <x v="0"/>
    <x v="0"/>
    <x v="1"/>
    <x v="0"/>
    <n v="278.89999999999998"/>
    <x v="3"/>
  </r>
  <r>
    <s v="PS-1266"/>
    <s v="Bruno Costa"/>
    <x v="0"/>
    <s v="07/08/2025"/>
    <x v="0"/>
    <x v="0"/>
    <x v="0"/>
    <x v="0"/>
    <n v="538.9"/>
    <x v="0"/>
  </r>
  <r>
    <s v="PS-1267"/>
    <s v="Carla Rodrigues"/>
    <x v="1"/>
    <s v="29/06/2025"/>
    <x v="1"/>
    <x v="1"/>
    <x v="1"/>
    <x v="1"/>
    <n v="34.9"/>
    <x v="1"/>
  </r>
  <r>
    <s v="PS-1268"/>
    <s v="Diogo Pereira"/>
    <x v="2"/>
    <s v="20/10/2025"/>
    <x v="0"/>
    <x v="2"/>
    <x v="0"/>
    <x v="1"/>
    <n v="139.9"/>
    <x v="2"/>
  </r>
  <r>
    <s v="PS-1269"/>
    <s v="Elisa Correia"/>
    <x v="0"/>
    <s v="05/02/2025"/>
    <x v="1"/>
    <x v="1"/>
    <x v="0"/>
    <x v="0"/>
    <n v="59.9"/>
    <x v="0"/>
  </r>
  <r>
    <s v="PS-1270"/>
    <s v="Fábio Lourenço"/>
    <x v="1"/>
    <s v="12/05/2025"/>
    <x v="0"/>
    <x v="0"/>
    <x v="1"/>
    <x v="0"/>
    <n v="278.89999999999998"/>
    <x v="3"/>
  </r>
  <r>
    <s v="PS-1271"/>
    <s v="Gabriela Neves"/>
    <x v="0"/>
    <s v="10/12/2025"/>
    <x v="1"/>
    <x v="0"/>
    <x v="0"/>
    <x v="0"/>
    <n v="538.9"/>
    <x v="0"/>
  </r>
  <r>
    <s v="PS-1272"/>
    <s v="Henrique Gonçalves"/>
    <x v="1"/>
    <s v="06/02/2025"/>
    <x v="1"/>
    <x v="1"/>
    <x v="1"/>
    <x v="1"/>
    <n v="34.9"/>
    <x v="1"/>
  </r>
  <r>
    <s v="PS-1273"/>
    <s v="Íris Santos"/>
    <x v="2"/>
    <s v="17/01/2025"/>
    <x v="0"/>
    <x v="2"/>
    <x v="0"/>
    <x v="1"/>
    <n v="139.9"/>
    <x v="2"/>
  </r>
  <r>
    <s v="PS-1274"/>
    <s v="João Marcelo Alves"/>
    <x v="0"/>
    <s v="06/01/2025"/>
    <x v="0"/>
    <x v="1"/>
    <x v="0"/>
    <x v="0"/>
    <n v="59.9"/>
    <x v="0"/>
  </r>
  <r>
    <s v="PS-1275"/>
    <s v="Klara Fonseca"/>
    <x v="1"/>
    <s v="26/04/2025"/>
    <x v="0"/>
    <x v="0"/>
    <x v="1"/>
    <x v="0"/>
    <n v="278.89999999999998"/>
    <x v="3"/>
  </r>
  <r>
    <s v="PS-1276"/>
    <s v="Lucas Mendonça"/>
    <x v="0"/>
    <s v="04/11/2025"/>
    <x v="1"/>
    <x v="0"/>
    <x v="0"/>
    <x v="0"/>
    <n v="538.9"/>
    <x v="0"/>
  </r>
  <r>
    <s v="PS-1277"/>
    <s v="Marcela Torres"/>
    <x v="1"/>
    <s v="25/11/2025"/>
    <x v="1"/>
    <x v="1"/>
    <x v="1"/>
    <x v="1"/>
    <n v="34.9"/>
    <x v="1"/>
  </r>
  <r>
    <s v="PS-1278"/>
    <s v="Natália Castro"/>
    <x v="2"/>
    <s v="22/09/2025"/>
    <x v="0"/>
    <x v="2"/>
    <x v="0"/>
    <x v="1"/>
    <n v="139.9"/>
    <x v="2"/>
  </r>
  <r>
    <s v="PS-1279"/>
    <s v="Oscar Martins"/>
    <x v="0"/>
    <s v="21/05/2025"/>
    <x v="1"/>
    <x v="1"/>
    <x v="0"/>
    <x v="0"/>
    <n v="59.9"/>
    <x v="0"/>
  </r>
  <r>
    <s v="PS-1280"/>
    <s v="Patrícia Oliveira"/>
    <x v="1"/>
    <s v="25/04/2025"/>
    <x v="1"/>
    <x v="0"/>
    <x v="1"/>
    <x v="0"/>
    <n v="278.89999999999998"/>
    <x v="3"/>
  </r>
  <r>
    <s v="PS-1281"/>
    <s v="Quentin Nogueira"/>
    <x v="0"/>
    <s v="02/05/2025"/>
    <x v="0"/>
    <x v="0"/>
    <x v="0"/>
    <x v="0"/>
    <n v="538.9"/>
    <x v="0"/>
  </r>
  <r>
    <s v="PS-1282"/>
    <s v="Raquel Silva"/>
    <x v="1"/>
    <s v="21/11/2025"/>
    <x v="0"/>
    <x v="1"/>
    <x v="1"/>
    <x v="1"/>
    <n v="34.9"/>
    <x v="1"/>
  </r>
  <r>
    <s v="PS-1283"/>
    <s v="Sandro Gomes"/>
    <x v="2"/>
    <s v="16/01/2025"/>
    <x v="0"/>
    <x v="2"/>
    <x v="0"/>
    <x v="1"/>
    <n v="139.9"/>
    <x v="2"/>
  </r>
  <r>
    <s v="PS-1284"/>
    <s v="Tânia Machado"/>
    <x v="0"/>
    <s v="02/03/2025"/>
    <x v="1"/>
    <x v="1"/>
    <x v="0"/>
    <x v="0"/>
    <n v="59.9"/>
    <x v="0"/>
  </r>
  <r>
    <s v="PS-1285"/>
    <s v="Ursula Silva"/>
    <x v="1"/>
    <s v="02/03/2025"/>
    <x v="1"/>
    <x v="0"/>
    <x v="1"/>
    <x v="0"/>
    <n v="278.89999999999998"/>
    <x v="3"/>
  </r>
  <r>
    <s v="PS-1286"/>
    <s v="Vanessa Moraes"/>
    <x v="0"/>
    <s v="05/08/2025"/>
    <x v="0"/>
    <x v="0"/>
    <x v="0"/>
    <x v="0"/>
    <n v="538.9"/>
    <x v="0"/>
  </r>
  <r>
    <s v="PS-1287"/>
    <s v="William Carvalho"/>
    <x v="1"/>
    <s v="12/02/2025"/>
    <x v="1"/>
    <x v="1"/>
    <x v="1"/>
    <x v="1"/>
    <n v="34.9"/>
    <x v="1"/>
  </r>
  <r>
    <s v="PS-1288"/>
    <s v="Xavier Reis"/>
    <x v="2"/>
    <s v="27/09/2025"/>
    <x v="0"/>
    <x v="2"/>
    <x v="0"/>
    <x v="1"/>
    <n v="139.9"/>
    <x v="2"/>
  </r>
  <r>
    <s v="PS-1289"/>
    <s v="Yasmin Rocha"/>
    <x v="0"/>
    <s v="07/08/2025"/>
    <x v="0"/>
    <x v="1"/>
    <x v="0"/>
    <x v="0"/>
    <n v="59.9"/>
    <x v="0"/>
  </r>
  <r>
    <s v="PS-1290"/>
    <s v="Zacarias Duarte"/>
    <x v="1"/>
    <s v="14/03/2025"/>
    <x v="0"/>
    <x v="0"/>
    <x v="1"/>
    <x v="0"/>
    <n v="278.89999999999998"/>
    <x v="3"/>
  </r>
  <r>
    <s v="PS-1291"/>
    <s v="Amanda Freitas"/>
    <x v="0"/>
    <s v="29/08/2025"/>
    <x v="1"/>
    <x v="0"/>
    <x v="0"/>
    <x v="0"/>
    <n v="538.9"/>
    <x v="0"/>
  </r>
  <r>
    <s v="PS-1292"/>
    <s v="Bruno Almeida"/>
    <x v="1"/>
    <s v="22/06/2025"/>
    <x v="1"/>
    <x v="1"/>
    <x v="1"/>
    <x v="1"/>
    <n v="34.9"/>
    <x v="1"/>
  </r>
  <r>
    <s v="PS-1293"/>
    <s v="Carla Siqueira"/>
    <x v="2"/>
    <s v="30/12/2025"/>
    <x v="0"/>
    <x v="2"/>
    <x v="0"/>
    <x v="1"/>
    <n v="139.9"/>
    <x v="2"/>
  </r>
  <r>
    <s v="PS-1294"/>
    <s v="Diogo Ramos"/>
    <x v="0"/>
    <s v="24/04/2025"/>
    <x v="0"/>
    <x v="1"/>
    <x v="0"/>
    <x v="0"/>
    <n v="59.9"/>
    <x v="0"/>
  </r>
  <r>
    <s v="PS-1295"/>
    <s v="Elisa Magalhães"/>
    <x v="1"/>
    <s v="26/01/2025"/>
    <x v="1"/>
    <x v="0"/>
    <x v="1"/>
    <x v="0"/>
    <n v="278.8999999999999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CAE196-EECB-4F40-8095-C913B8663C6E}" name="tbl_assinantes_plano" cacheId="1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26:B35" firstHeaderRow="1" firstDataRow="1" firstDataCol="1" rowPageCount="1" colPageCount="1"/>
  <pivotFields count="10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</pivotFields>
  <rowFields count="2">
    <field x="2"/>
    <field x="5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 v="2"/>
    </i>
    <i t="grand">
      <x/>
    </i>
  </rowItems>
  <colItems count="1">
    <i/>
  </colItems>
  <pageFields count="1">
    <pageField fld="4" hier="-1"/>
  </pageFields>
  <dataFields count="1">
    <dataField name="Contagem de ID_Assinan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BD374-46AD-4493-96ED-1E56F75CD25F}" name="tbl_faturamento_plano" cacheId="1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8">
  <location ref="A5:B9" firstHeaderRow="1" firstDataRow="1" firstDataCol="1" rowPageCount="1" colPageCount="1"/>
  <pivotFields count="10"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Soma de Valor_Plano" fld="8" baseField="0" baseItem="0"/>
  </dataField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7A998-0AA4-4FAB-98D0-A21CA5551356}" name="tbl_add_on_cenarios" cacheId="12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72:B77" firstHeaderRow="1" firstDataRow="1" firstDataCol="1" rowPageCount="1" colPageCount="1"/>
  <pivotFields count="10">
    <pivotField dataField="1"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4" hier="-1"/>
  </pageFields>
  <dataFields count="1">
    <dataField name="Contagem de ID_Assinante" fld="0" subtotal="count" baseField="0" baseItem="0"/>
  </dataFields>
  <chartFormats count="5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o" xr10:uid="{FE33400C-C0D6-49D5-920A-272477A84FAE}" sourceName="Plano">
  <pivotTables>
    <pivotTable tabId="3" name="tbl_faturamento_plano"/>
    <pivotTable tabId="3" name="tbl_add_on_cenarios"/>
    <pivotTable tabId="3" name="tbl_assinantes_plano"/>
  </pivotTables>
  <data>
    <tabular pivotCacheId="718895297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Renovacao" xr10:uid="{39EF056D-B1C9-42F5-B562-22F3C23C8A22}" sourceName="AutoRenovacao">
  <pivotTables>
    <pivotTable tabId="3" name="tbl_faturamento_plano"/>
    <pivotTable tabId="3" name="tbl_add_on_cenarios"/>
    <pivotTable tabId="3" name="tbl_assinantes_plano"/>
  </pivotTables>
  <data>
    <tabular pivotCacheId="718895297" sortOrder="descending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ddOn_Ubisoft" xr10:uid="{98F2875A-8BCC-4CCB-8D6C-D5BCBEAA13AE}" sourceName="AddOn_Ubisoft">
  <pivotTables>
    <pivotTable tabId="3" name="tbl_faturamento_plano"/>
    <pivotTable tabId="3" name="tbl_add_on_cenarios"/>
    <pivotTable tabId="3" name="tbl_assinantes_plano"/>
  </pivotTables>
  <data>
    <tabular pivotCacheId="718895297" sortOrder="descending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ddOn_Fortnite" xr10:uid="{A3B59662-6F2F-4030-9595-802A6BC4B904}" sourceName="AddOn_Fortnite">
  <pivotTables>
    <pivotTable tabId="3" name="tbl_faturamento_plano"/>
    <pivotTable tabId="3" name="tbl_add_on_cenarios"/>
    <pivotTable tabId="3" name="tbl_assinantes_plano"/>
  </pivotTables>
  <data>
    <tabular pivotCacheId="718895297" sortOrder="descending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o" xr10:uid="{E61C4667-D3C8-49BA-A783-C9A8566420D1}" cache="SegmentaçãodeDados_Plano" caption="Plano" style="SlicerStyleLight1 2" rowHeight="241300"/>
  <slicer name="AutoRenovacao" xr10:uid="{20CCB1CC-8180-4E2F-AC14-95919034FE09}" cache="SegmentaçãodeDados_AutoRenovacao" caption="AutoRenovacao" style="SlicerStyleLight1 2" rowHeight="241300"/>
  <slicer name="AddOn_Ubisoft" xr10:uid="{D463B604-5B8F-4C82-BEC3-530521548556}" cache="SegmentaçãodeDados_AddOn_Ubisoft" caption="AddOn_Ubisoft" style="SlicerStyleLight1 2" rowHeight="241300"/>
  <slicer name="AddOn_Fortnite" xr10:uid="{E727C701-34DA-4511-902A-708339658671}" cache="SegmentaçãodeDados_AddOn_Fortnite" caption="AddOn_Fortnite" style="SlicerStyleLight1 2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A35E-2915-4399-AD5F-4A9AD4B38F03}">
  <dimension ref="A4:C19"/>
  <sheetViews>
    <sheetView zoomScale="95" zoomScaleNormal="95" workbookViewId="0">
      <selection activeCell="L18" sqref="L18"/>
    </sheetView>
  </sheetViews>
  <sheetFormatPr defaultRowHeight="15"/>
  <cols>
    <col min="1" max="1" width="18.42578125" customWidth="1"/>
    <col min="2" max="2" width="14.28515625" customWidth="1"/>
    <col min="3" max="3" width="50.140625" customWidth="1"/>
  </cols>
  <sheetData>
    <row r="4" spans="1:3" ht="15" customHeight="1" thickBot="1"/>
    <row r="5" spans="1:3" ht="15" customHeight="1" thickBot="1">
      <c r="A5" s="1" t="s">
        <v>1</v>
      </c>
      <c r="B5" s="1" t="s">
        <v>809</v>
      </c>
      <c r="C5" s="1" t="s">
        <v>808</v>
      </c>
    </row>
    <row r="6" spans="1:3" ht="15" customHeight="1" thickBot="1">
      <c r="A6" s="12" t="s">
        <v>793</v>
      </c>
      <c r="B6" s="13" t="s">
        <v>794</v>
      </c>
      <c r="C6" s="14" t="s">
        <v>810</v>
      </c>
    </row>
    <row r="7" spans="1:3" ht="15" customHeight="1" thickBot="1">
      <c r="A7" s="15" t="s">
        <v>795</v>
      </c>
      <c r="B7" s="16" t="s">
        <v>796</v>
      </c>
      <c r="C7" s="17" t="s">
        <v>797</v>
      </c>
    </row>
    <row r="8" spans="1:3" ht="15" customHeight="1" thickBot="1">
      <c r="A8" s="18" t="s">
        <v>798</v>
      </c>
      <c r="B8" s="19" t="s">
        <v>799</v>
      </c>
      <c r="C8" s="20" t="s">
        <v>811</v>
      </c>
    </row>
    <row r="9" spans="1:3" ht="15" customHeight="1" thickBot="1">
      <c r="A9" s="21" t="s">
        <v>800</v>
      </c>
      <c r="B9" s="22" t="s">
        <v>801</v>
      </c>
      <c r="C9" s="23" t="s">
        <v>812</v>
      </c>
    </row>
    <row r="10" spans="1:3" ht="30" customHeight="1" thickBot="1">
      <c r="A10" s="24" t="s">
        <v>802</v>
      </c>
      <c r="B10" s="25" t="s">
        <v>803</v>
      </c>
      <c r="C10" s="26" t="s">
        <v>806</v>
      </c>
    </row>
    <row r="11" spans="1:3" ht="15" customHeight="1" thickBot="1">
      <c r="A11" s="27" t="s">
        <v>804</v>
      </c>
      <c r="B11" s="28" t="s">
        <v>805</v>
      </c>
      <c r="C11" s="29" t="s">
        <v>807</v>
      </c>
    </row>
    <row r="12" spans="1:3" ht="15" customHeight="1"/>
    <row r="13" spans="1:3" ht="15" customHeight="1"/>
    <row r="14" spans="1:3" ht="15" customHeight="1"/>
    <row r="15" spans="1:3" ht="15" customHeight="1"/>
    <row r="16" spans="1:3" ht="15" customHeight="1"/>
    <row r="17" ht="15" customHeight="1"/>
    <row r="18" ht="15" customHeight="1"/>
    <row r="19" ht="15" customHeight="1"/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6"/>
  <sheetViews>
    <sheetView workbookViewId="0">
      <selection activeCell="B6" sqref="B6:B8"/>
    </sheetView>
  </sheetViews>
  <sheetFormatPr defaultRowHeight="15"/>
  <cols>
    <col min="1" max="1" width="17.140625" style="7" customWidth="1"/>
    <col min="2" max="2" width="19.28515625" style="7" customWidth="1"/>
    <col min="3" max="3" width="9.140625" style="7"/>
    <col min="4" max="4" width="13.42578125" style="7" customWidth="1"/>
    <col min="5" max="5" width="18.42578125" style="7" customWidth="1"/>
    <col min="6" max="6" width="22" style="7" customWidth="1"/>
    <col min="7" max="7" width="15.85546875" style="7" customWidth="1"/>
    <col min="8" max="8" width="16.140625" style="7" customWidth="1"/>
    <col min="9" max="9" width="18.28515625" style="7" customWidth="1"/>
    <col min="10" max="10" width="18.42578125" style="7" customWidth="1"/>
    <col min="21" max="21" width="11.42578125" customWidth="1"/>
  </cols>
  <sheetData>
    <row r="1" spans="1:22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792</v>
      </c>
      <c r="F1" s="4" t="s">
        <v>817</v>
      </c>
      <c r="G1" s="4" t="s">
        <v>4</v>
      </c>
      <c r="H1" s="4" t="s">
        <v>5</v>
      </c>
      <c r="I1" s="4" t="s">
        <v>6</v>
      </c>
      <c r="J1" s="4" t="s">
        <v>830</v>
      </c>
    </row>
    <row r="2" spans="1:22">
      <c r="A2" s="5" t="s">
        <v>7</v>
      </c>
      <c r="B2" s="6" t="s">
        <v>22</v>
      </c>
      <c r="C2" s="5" t="s">
        <v>8</v>
      </c>
      <c r="D2" s="7" t="s">
        <v>590</v>
      </c>
      <c r="E2" s="5" t="s">
        <v>9</v>
      </c>
      <c r="F2" s="5" t="s">
        <v>10</v>
      </c>
      <c r="G2" s="5" t="s">
        <v>9</v>
      </c>
      <c r="H2" s="5" t="s">
        <v>9</v>
      </c>
      <c r="I2" s="8" cm="1">
        <f t="array" ref="I2">_xlfn.XLOOKUP(C2,$S$9:$S$11,_xlfn.XLOOKUP(F2,$T$8:$V$8,$T$9:$V$11))</f>
        <v>538.9</v>
      </c>
      <c r="J2" s="7" t="str">
        <f>IF(AND(G2="Sim",H2="Sim"),"Fortnite + Ubisoft",
IF(AND(G2="Sim",H2="Não"),"Somente Ubisoft",
IF(AND(G2="Não",H2="Sim"),"Somente Fortnite",
"Nenhum Add-on")))</f>
        <v>Fortnite + Ubisoft</v>
      </c>
    </row>
    <row r="3" spans="1:22">
      <c r="A3" s="5" t="s">
        <v>11</v>
      </c>
      <c r="B3" s="6" t="s">
        <v>23</v>
      </c>
      <c r="C3" s="5" t="s">
        <v>13</v>
      </c>
      <c r="D3" s="7" t="s">
        <v>591</v>
      </c>
      <c r="E3" s="5" t="s">
        <v>14</v>
      </c>
      <c r="F3" s="5" t="s">
        <v>15</v>
      </c>
      <c r="G3" s="5" t="s">
        <v>14</v>
      </c>
      <c r="H3" s="5" t="s">
        <v>14</v>
      </c>
      <c r="I3" s="8" cm="1">
        <f t="array" ref="I3">_xlfn.XLOOKUP(C3,$S$9:$S$11,_xlfn.XLOOKUP(F3,$T$8:$V$8,$T$9:$V$11))</f>
        <v>34.9</v>
      </c>
      <c r="J3" s="7" t="str">
        <f t="shared" ref="J3:J66" si="0">IF(AND(G3="Sim",H3="Sim"),"Fortnite + Ubisoft",
IF(AND(G3="Sim",H3="Não"),"Somente Ubisoft",
IF(AND(G3="Não",H3="Sim"),"Somente Fortnite",
"Nenhum Add-on")))</f>
        <v>Nenhum Add-on</v>
      </c>
    </row>
    <row r="4" spans="1:22">
      <c r="A4" s="5" t="s">
        <v>16</v>
      </c>
      <c r="B4" s="6" t="s">
        <v>24</v>
      </c>
      <c r="C4" s="5" t="s">
        <v>18</v>
      </c>
      <c r="D4" s="7" t="s">
        <v>592</v>
      </c>
      <c r="E4" s="5" t="s">
        <v>9</v>
      </c>
      <c r="F4" s="5" t="s">
        <v>19</v>
      </c>
      <c r="G4" s="5" t="s">
        <v>9</v>
      </c>
      <c r="H4" s="5" t="s">
        <v>14</v>
      </c>
      <c r="I4" s="8" cm="1">
        <f t="array" ref="I4">_xlfn.XLOOKUP(C4,$S$9:$S$11,_xlfn.XLOOKUP(F4,$T$8:$V$8,$T$9:$V$11))</f>
        <v>139.9</v>
      </c>
      <c r="J4" s="7" t="str">
        <f t="shared" si="0"/>
        <v>Somente Ubisoft</v>
      </c>
    </row>
    <row r="5" spans="1:22">
      <c r="A5" s="5" t="s">
        <v>20</v>
      </c>
      <c r="B5" s="6" t="s">
        <v>25</v>
      </c>
      <c r="C5" s="5" t="s">
        <v>8</v>
      </c>
      <c r="D5" s="7" t="s">
        <v>593</v>
      </c>
      <c r="E5" s="5" t="s">
        <v>9</v>
      </c>
      <c r="F5" s="5" t="s">
        <v>15</v>
      </c>
      <c r="G5" s="5" t="s">
        <v>9</v>
      </c>
      <c r="H5" s="5" t="s">
        <v>9</v>
      </c>
      <c r="I5" s="8" cm="1">
        <f t="array" ref="I5">_xlfn.XLOOKUP(C5,$S$9:$S$11,_xlfn.XLOOKUP(F5,$T$8:$V$8,$T$9:$V$11))</f>
        <v>59.9</v>
      </c>
      <c r="J5" s="7" t="str">
        <f t="shared" si="0"/>
        <v>Fortnite + Ubisoft</v>
      </c>
    </row>
    <row r="6" spans="1:22">
      <c r="A6" s="5" t="s">
        <v>21</v>
      </c>
      <c r="B6" s="6" t="s">
        <v>26</v>
      </c>
      <c r="C6" s="5" t="s">
        <v>13</v>
      </c>
      <c r="D6" s="7" t="s">
        <v>594</v>
      </c>
      <c r="E6" s="5" t="s">
        <v>14</v>
      </c>
      <c r="F6" s="5" t="s">
        <v>10</v>
      </c>
      <c r="G6" s="5" t="s">
        <v>14</v>
      </c>
      <c r="H6" s="5" t="s">
        <v>9</v>
      </c>
      <c r="I6" s="8" cm="1">
        <f t="array" ref="I6">_xlfn.XLOOKUP(C6,$S$9:$S$11,_xlfn.XLOOKUP(F6,$T$8:$V$8,$T$9:$V$11))</f>
        <v>278.89999999999998</v>
      </c>
      <c r="J6" s="7" t="str">
        <f t="shared" si="0"/>
        <v>Somente Fortnite</v>
      </c>
    </row>
    <row r="7" spans="1:22">
      <c r="A7" s="5" t="s">
        <v>300</v>
      </c>
      <c r="B7" s="6" t="s">
        <v>27</v>
      </c>
      <c r="C7" s="5" t="s">
        <v>8</v>
      </c>
      <c r="D7" s="7" t="s">
        <v>595</v>
      </c>
      <c r="E7" s="5" t="s">
        <v>9</v>
      </c>
      <c r="F7" s="5" t="s">
        <v>10</v>
      </c>
      <c r="G7" s="5" t="s">
        <v>9</v>
      </c>
      <c r="H7" s="5" t="s">
        <v>14</v>
      </c>
      <c r="I7" s="8" cm="1">
        <f t="array" ref="I7">_xlfn.XLOOKUP(C7,$S$9:$S$11,_xlfn.XLOOKUP(F7,$T$8:$V$8,$T$9:$V$11))</f>
        <v>538.9</v>
      </c>
      <c r="J7" s="7" t="str">
        <f t="shared" si="0"/>
        <v>Somente Ubisoft</v>
      </c>
    </row>
    <row r="8" spans="1:22">
      <c r="A8" s="5" t="s">
        <v>301</v>
      </c>
      <c r="B8" s="6" t="s">
        <v>28</v>
      </c>
      <c r="C8" s="5" t="s">
        <v>13</v>
      </c>
      <c r="D8" s="7" t="s">
        <v>596</v>
      </c>
      <c r="E8" s="5" t="s">
        <v>14</v>
      </c>
      <c r="F8" s="5" t="s">
        <v>15</v>
      </c>
      <c r="G8" s="5" t="s">
        <v>14</v>
      </c>
      <c r="H8" s="5" t="s">
        <v>14</v>
      </c>
      <c r="I8" s="8" cm="1">
        <f t="array" ref="I8">_xlfn.XLOOKUP(C8,$S$9:$S$11,_xlfn.XLOOKUP(F8,$T$8:$V$8,$T$9:$V$11))</f>
        <v>34.9</v>
      </c>
      <c r="J8" s="7" t="str">
        <f t="shared" si="0"/>
        <v>Nenhum Add-on</v>
      </c>
      <c r="S8" s="2" t="s">
        <v>2</v>
      </c>
      <c r="T8" s="2" t="s">
        <v>15</v>
      </c>
      <c r="U8" s="2" t="s">
        <v>19</v>
      </c>
      <c r="V8" s="2" t="s">
        <v>10</v>
      </c>
    </row>
    <row r="9" spans="1:22">
      <c r="A9" s="5" t="s">
        <v>302</v>
      </c>
      <c r="B9" s="6" t="s">
        <v>29</v>
      </c>
      <c r="C9" s="5" t="s">
        <v>18</v>
      </c>
      <c r="D9" s="7" t="s">
        <v>597</v>
      </c>
      <c r="E9" s="5" t="s">
        <v>9</v>
      </c>
      <c r="F9" s="5" t="s">
        <v>19</v>
      </c>
      <c r="G9" s="5" t="s">
        <v>9</v>
      </c>
      <c r="H9" s="5" t="s">
        <v>14</v>
      </c>
      <c r="I9" s="8" cm="1">
        <f t="array" ref="I9">_xlfn.XLOOKUP(C9,$S$9:$S$11,_xlfn.XLOOKUP(F9,$T$8:$V$8,$T$9:$V$11))</f>
        <v>139.9</v>
      </c>
      <c r="J9" s="7" t="str">
        <f t="shared" si="0"/>
        <v>Somente Ubisoft</v>
      </c>
      <c r="S9" s="3" t="s">
        <v>13</v>
      </c>
      <c r="T9" s="3">
        <v>34.9</v>
      </c>
      <c r="U9" s="3">
        <v>84.9</v>
      </c>
      <c r="V9" s="3">
        <v>278.89999999999998</v>
      </c>
    </row>
    <row r="10" spans="1:22">
      <c r="A10" s="5" t="s">
        <v>303</v>
      </c>
      <c r="B10" s="6" t="s">
        <v>30</v>
      </c>
      <c r="C10" s="5" t="s">
        <v>8</v>
      </c>
      <c r="D10" s="7" t="s">
        <v>598</v>
      </c>
      <c r="E10" s="5" t="s">
        <v>9</v>
      </c>
      <c r="F10" s="5" t="s">
        <v>15</v>
      </c>
      <c r="G10" s="5" t="s">
        <v>9</v>
      </c>
      <c r="H10" s="5" t="s">
        <v>9</v>
      </c>
      <c r="I10" s="8" cm="1">
        <f t="array" ref="I10">_xlfn.XLOOKUP(C10,$S$9:$S$11,_xlfn.XLOOKUP(F10,$T$8:$V$8,$T$9:$V$11))</f>
        <v>59.9</v>
      </c>
      <c r="J10" s="7" t="str">
        <f t="shared" si="0"/>
        <v>Fortnite + Ubisoft</v>
      </c>
      <c r="S10" s="3" t="s">
        <v>18</v>
      </c>
      <c r="T10" s="3">
        <v>52.9</v>
      </c>
      <c r="U10" s="3">
        <v>139.9</v>
      </c>
      <c r="V10" s="3">
        <v>475.9</v>
      </c>
    </row>
    <row r="11" spans="1:22">
      <c r="A11" s="5" t="s">
        <v>304</v>
      </c>
      <c r="B11" s="6" t="s">
        <v>31</v>
      </c>
      <c r="C11" s="5" t="s">
        <v>13</v>
      </c>
      <c r="D11" s="7" t="s">
        <v>599</v>
      </c>
      <c r="E11" s="5" t="s">
        <v>9</v>
      </c>
      <c r="F11" s="5" t="s">
        <v>10</v>
      </c>
      <c r="G11" s="5" t="s">
        <v>14</v>
      </c>
      <c r="H11" s="5" t="s">
        <v>9</v>
      </c>
      <c r="I11" s="8" cm="1">
        <f t="array" ref="I11">_xlfn.XLOOKUP(C11,$S$9:$S$11,_xlfn.XLOOKUP(F11,$T$8:$V$8,$T$9:$V$11))</f>
        <v>278.89999999999998</v>
      </c>
      <c r="J11" s="7" t="str">
        <f t="shared" si="0"/>
        <v>Somente Fortnite</v>
      </c>
      <c r="S11" s="3" t="s">
        <v>8</v>
      </c>
      <c r="T11" s="3">
        <v>59.9</v>
      </c>
      <c r="U11" s="3">
        <v>159.9</v>
      </c>
      <c r="V11" s="3">
        <v>538.9</v>
      </c>
    </row>
    <row r="12" spans="1:22">
      <c r="A12" s="5" t="s">
        <v>305</v>
      </c>
      <c r="B12" s="6" t="s">
        <v>32</v>
      </c>
      <c r="C12" s="5" t="s">
        <v>8</v>
      </c>
      <c r="D12" s="7" t="s">
        <v>600</v>
      </c>
      <c r="E12" s="5" t="s">
        <v>9</v>
      </c>
      <c r="F12" s="5" t="s">
        <v>10</v>
      </c>
      <c r="G12" s="5" t="s">
        <v>9</v>
      </c>
      <c r="H12" s="5" t="s">
        <v>9</v>
      </c>
      <c r="I12" s="8" cm="1">
        <f t="array" ref="I12">_xlfn.XLOOKUP(C12,$S$9:$S$11,_xlfn.XLOOKUP(F12,$T$8:$V$8,$T$9:$V$11))</f>
        <v>538.9</v>
      </c>
      <c r="J12" s="7" t="str">
        <f t="shared" si="0"/>
        <v>Fortnite + Ubisoft</v>
      </c>
    </row>
    <row r="13" spans="1:22">
      <c r="A13" s="5" t="s">
        <v>306</v>
      </c>
      <c r="B13" s="6" t="s">
        <v>33</v>
      </c>
      <c r="C13" s="5" t="s">
        <v>13</v>
      </c>
      <c r="D13" s="7" t="s">
        <v>601</v>
      </c>
      <c r="E13" s="5" t="s">
        <v>9</v>
      </c>
      <c r="F13" s="5" t="s">
        <v>15</v>
      </c>
      <c r="G13" s="5" t="s">
        <v>14</v>
      </c>
      <c r="H13" s="5" t="s">
        <v>14</v>
      </c>
      <c r="I13" s="8" cm="1">
        <f t="array" ref="I13">_xlfn.XLOOKUP(C13,$S$9:$S$11,_xlfn.XLOOKUP(F13,$T$8:$V$8,$T$9:$V$11))</f>
        <v>34.9</v>
      </c>
      <c r="J13" s="7" t="str">
        <f t="shared" si="0"/>
        <v>Nenhum Add-on</v>
      </c>
    </row>
    <row r="14" spans="1:22">
      <c r="A14" s="5" t="s">
        <v>307</v>
      </c>
      <c r="B14" s="6" t="s">
        <v>34</v>
      </c>
      <c r="C14" s="5" t="s">
        <v>18</v>
      </c>
      <c r="D14" s="7" t="s">
        <v>602</v>
      </c>
      <c r="E14" s="5" t="s">
        <v>9</v>
      </c>
      <c r="F14" s="5" t="s">
        <v>19</v>
      </c>
      <c r="G14" s="5" t="s">
        <v>9</v>
      </c>
      <c r="H14" s="5" t="s">
        <v>14</v>
      </c>
      <c r="I14" s="8" cm="1">
        <f t="array" ref="I14">_xlfn.XLOOKUP(C14,$S$9:$S$11,_xlfn.XLOOKUP(F14,$T$8:$V$8,$T$9:$V$11))</f>
        <v>139.9</v>
      </c>
      <c r="J14" s="7" t="str">
        <f t="shared" si="0"/>
        <v>Somente Ubisoft</v>
      </c>
    </row>
    <row r="15" spans="1:22">
      <c r="A15" s="5" t="s">
        <v>308</v>
      </c>
      <c r="B15" s="6" t="s">
        <v>35</v>
      </c>
      <c r="C15" s="5" t="s">
        <v>8</v>
      </c>
      <c r="D15" s="7" t="s">
        <v>603</v>
      </c>
      <c r="E15" s="5" t="s">
        <v>9</v>
      </c>
      <c r="F15" s="5" t="s">
        <v>15</v>
      </c>
      <c r="G15" s="5" t="s">
        <v>9</v>
      </c>
      <c r="H15" s="5" t="s">
        <v>9</v>
      </c>
      <c r="I15" s="8" cm="1">
        <f t="array" ref="I15">_xlfn.XLOOKUP(C15,$S$9:$S$11,_xlfn.XLOOKUP(F15,$T$8:$V$8,$T$9:$V$11))</f>
        <v>59.9</v>
      </c>
      <c r="J15" s="7" t="str">
        <f t="shared" si="0"/>
        <v>Fortnite + Ubisoft</v>
      </c>
    </row>
    <row r="16" spans="1:22">
      <c r="A16" s="5" t="s">
        <v>309</v>
      </c>
      <c r="B16" s="6" t="s">
        <v>36</v>
      </c>
      <c r="C16" s="5" t="s">
        <v>13</v>
      </c>
      <c r="D16" s="7" t="s">
        <v>604</v>
      </c>
      <c r="E16" s="5" t="s">
        <v>14</v>
      </c>
      <c r="F16" s="5" t="s">
        <v>10</v>
      </c>
      <c r="G16" s="5" t="s">
        <v>14</v>
      </c>
      <c r="H16" s="5" t="s">
        <v>9</v>
      </c>
      <c r="I16" s="8" cm="1">
        <f t="array" ref="I16">_xlfn.XLOOKUP(C16,$S$9:$S$11,_xlfn.XLOOKUP(F16,$T$8:$V$8,$T$9:$V$11))</f>
        <v>278.89999999999998</v>
      </c>
      <c r="J16" s="7" t="str">
        <f t="shared" si="0"/>
        <v>Somente Fortnite</v>
      </c>
    </row>
    <row r="17" spans="1:10">
      <c r="A17" s="5" t="s">
        <v>310</v>
      </c>
      <c r="B17" s="6" t="s">
        <v>37</v>
      </c>
      <c r="C17" s="5" t="s">
        <v>8</v>
      </c>
      <c r="D17" s="7" t="s">
        <v>605</v>
      </c>
      <c r="E17" s="5" t="s">
        <v>14</v>
      </c>
      <c r="F17" s="5" t="s">
        <v>10</v>
      </c>
      <c r="G17" s="5" t="s">
        <v>9</v>
      </c>
      <c r="H17" s="5" t="s">
        <v>9</v>
      </c>
      <c r="I17" s="8" cm="1">
        <f t="array" ref="I17">_xlfn.XLOOKUP(C17,$S$9:$S$11,_xlfn.XLOOKUP(F17,$T$8:$V$8,$T$9:$V$11))</f>
        <v>538.9</v>
      </c>
      <c r="J17" s="7" t="str">
        <f t="shared" si="0"/>
        <v>Fortnite + Ubisoft</v>
      </c>
    </row>
    <row r="18" spans="1:10">
      <c r="A18" s="5" t="s">
        <v>311</v>
      </c>
      <c r="B18" s="6" t="s">
        <v>38</v>
      </c>
      <c r="C18" s="5" t="s">
        <v>13</v>
      </c>
      <c r="D18" s="7" t="s">
        <v>606</v>
      </c>
      <c r="E18" s="5" t="s">
        <v>14</v>
      </c>
      <c r="F18" s="5" t="s">
        <v>15</v>
      </c>
      <c r="G18" s="5" t="s">
        <v>14</v>
      </c>
      <c r="H18" s="5" t="s">
        <v>14</v>
      </c>
      <c r="I18" s="8" cm="1">
        <f t="array" ref="I18">_xlfn.XLOOKUP(C18,$S$9:$S$11,_xlfn.XLOOKUP(F18,$T$8:$V$8,$T$9:$V$11))</f>
        <v>34.9</v>
      </c>
      <c r="J18" s="7" t="str">
        <f t="shared" si="0"/>
        <v>Nenhum Add-on</v>
      </c>
    </row>
    <row r="19" spans="1:10">
      <c r="A19" s="5" t="s">
        <v>312</v>
      </c>
      <c r="B19" s="6" t="s">
        <v>39</v>
      </c>
      <c r="C19" s="5" t="s">
        <v>18</v>
      </c>
      <c r="D19" s="7" t="s">
        <v>607</v>
      </c>
      <c r="E19" s="5" t="s">
        <v>9</v>
      </c>
      <c r="F19" s="5" t="s">
        <v>19</v>
      </c>
      <c r="G19" s="5" t="s">
        <v>9</v>
      </c>
      <c r="H19" s="5" t="s">
        <v>14</v>
      </c>
      <c r="I19" s="8" cm="1">
        <f t="array" ref="I19">_xlfn.XLOOKUP(C19,$S$9:$S$11,_xlfn.XLOOKUP(F19,$T$8:$V$8,$T$9:$V$11))</f>
        <v>139.9</v>
      </c>
      <c r="J19" s="7" t="str">
        <f t="shared" si="0"/>
        <v>Somente Ubisoft</v>
      </c>
    </row>
    <row r="20" spans="1:10">
      <c r="A20" s="5" t="s">
        <v>313</v>
      </c>
      <c r="B20" s="6" t="s">
        <v>40</v>
      </c>
      <c r="C20" s="5" t="s">
        <v>8</v>
      </c>
      <c r="D20" s="7" t="s">
        <v>608</v>
      </c>
      <c r="E20" s="5" t="s">
        <v>9</v>
      </c>
      <c r="F20" s="5" t="s">
        <v>15</v>
      </c>
      <c r="G20" s="5" t="s">
        <v>9</v>
      </c>
      <c r="H20" s="5" t="s">
        <v>9</v>
      </c>
      <c r="I20" s="8" cm="1">
        <f t="array" ref="I20">_xlfn.XLOOKUP(C20,$S$9:$S$11,_xlfn.XLOOKUP(F20,$T$8:$V$8,$T$9:$V$11))</f>
        <v>59.9</v>
      </c>
      <c r="J20" s="7" t="str">
        <f t="shared" si="0"/>
        <v>Fortnite + Ubisoft</v>
      </c>
    </row>
    <row r="21" spans="1:10">
      <c r="A21" s="5" t="s">
        <v>314</v>
      </c>
      <c r="B21" s="6" t="s">
        <v>41</v>
      </c>
      <c r="C21" s="5" t="s">
        <v>13</v>
      </c>
      <c r="D21" s="7" t="s">
        <v>609</v>
      </c>
      <c r="E21" s="5" t="s">
        <v>9</v>
      </c>
      <c r="F21" s="5" t="s">
        <v>10</v>
      </c>
      <c r="G21" s="5" t="s">
        <v>14</v>
      </c>
      <c r="H21" s="5" t="s">
        <v>9</v>
      </c>
      <c r="I21" s="8" cm="1">
        <f t="array" ref="I21">_xlfn.XLOOKUP(C21,$S$9:$S$11,_xlfn.XLOOKUP(F21,$T$8:$V$8,$T$9:$V$11))</f>
        <v>278.89999999999998</v>
      </c>
      <c r="J21" s="7" t="str">
        <f t="shared" si="0"/>
        <v>Somente Fortnite</v>
      </c>
    </row>
    <row r="22" spans="1:10">
      <c r="A22" s="5" t="s">
        <v>315</v>
      </c>
      <c r="B22" s="6" t="s">
        <v>42</v>
      </c>
      <c r="C22" s="5" t="s">
        <v>8</v>
      </c>
      <c r="D22" s="7" t="s">
        <v>610</v>
      </c>
      <c r="E22" s="5" t="s">
        <v>14</v>
      </c>
      <c r="F22" s="5" t="s">
        <v>10</v>
      </c>
      <c r="G22" s="5" t="s">
        <v>9</v>
      </c>
      <c r="H22" s="5" t="s">
        <v>9</v>
      </c>
      <c r="I22" s="8" cm="1">
        <f t="array" ref="I22">_xlfn.XLOOKUP(C22,$S$9:$S$11,_xlfn.XLOOKUP(F22,$T$8:$V$8,$T$9:$V$11))</f>
        <v>538.9</v>
      </c>
      <c r="J22" s="7" t="str">
        <f t="shared" si="0"/>
        <v>Fortnite + Ubisoft</v>
      </c>
    </row>
    <row r="23" spans="1:10">
      <c r="A23" s="5" t="s">
        <v>316</v>
      </c>
      <c r="B23" s="6" t="s">
        <v>43</v>
      </c>
      <c r="C23" s="5" t="s">
        <v>13</v>
      </c>
      <c r="D23" s="7" t="s">
        <v>611</v>
      </c>
      <c r="E23" s="5" t="s">
        <v>14</v>
      </c>
      <c r="F23" s="5" t="s">
        <v>15</v>
      </c>
      <c r="G23" s="5" t="s">
        <v>14</v>
      </c>
      <c r="H23" s="5" t="s">
        <v>14</v>
      </c>
      <c r="I23" s="8" cm="1">
        <f t="array" ref="I23">_xlfn.XLOOKUP(C23,$S$9:$S$11,_xlfn.XLOOKUP(F23,$T$8:$V$8,$T$9:$V$11))</f>
        <v>34.9</v>
      </c>
      <c r="J23" s="7" t="str">
        <f t="shared" si="0"/>
        <v>Nenhum Add-on</v>
      </c>
    </row>
    <row r="24" spans="1:10">
      <c r="A24" s="5" t="s">
        <v>317</v>
      </c>
      <c r="B24" s="6" t="s">
        <v>44</v>
      </c>
      <c r="C24" s="5" t="s">
        <v>18</v>
      </c>
      <c r="D24" s="7" t="s">
        <v>612</v>
      </c>
      <c r="E24" s="5" t="s">
        <v>9</v>
      </c>
      <c r="F24" s="5" t="s">
        <v>19</v>
      </c>
      <c r="G24" s="5" t="s">
        <v>9</v>
      </c>
      <c r="H24" s="5" t="s">
        <v>14</v>
      </c>
      <c r="I24" s="8" cm="1">
        <f t="array" ref="I24">_xlfn.XLOOKUP(C24,$S$9:$S$11,_xlfn.XLOOKUP(F24,$T$8:$V$8,$T$9:$V$11))</f>
        <v>139.9</v>
      </c>
      <c r="J24" s="7" t="str">
        <f t="shared" si="0"/>
        <v>Somente Ubisoft</v>
      </c>
    </row>
    <row r="25" spans="1:10">
      <c r="A25" s="5" t="s">
        <v>318</v>
      </c>
      <c r="B25" s="6" t="s">
        <v>45</v>
      </c>
      <c r="C25" s="5" t="s">
        <v>8</v>
      </c>
      <c r="D25" s="7" t="s">
        <v>613</v>
      </c>
      <c r="E25" s="5" t="s">
        <v>9</v>
      </c>
      <c r="F25" s="5" t="s">
        <v>15</v>
      </c>
      <c r="G25" s="5" t="s">
        <v>9</v>
      </c>
      <c r="H25" s="5" t="s">
        <v>9</v>
      </c>
      <c r="I25" s="8" cm="1">
        <f t="array" ref="I25">_xlfn.XLOOKUP(C25,$S$9:$S$11,_xlfn.XLOOKUP(F25,$T$8:$V$8,$T$9:$V$11))</f>
        <v>59.9</v>
      </c>
      <c r="J25" s="7" t="str">
        <f t="shared" si="0"/>
        <v>Fortnite + Ubisoft</v>
      </c>
    </row>
    <row r="26" spans="1:10">
      <c r="A26" s="5" t="s">
        <v>319</v>
      </c>
      <c r="B26" s="6" t="s">
        <v>46</v>
      </c>
      <c r="C26" s="5" t="s">
        <v>13</v>
      </c>
      <c r="D26" s="7" t="s">
        <v>614</v>
      </c>
      <c r="E26" s="5" t="s">
        <v>14</v>
      </c>
      <c r="F26" s="5" t="s">
        <v>10</v>
      </c>
      <c r="G26" s="5" t="s">
        <v>14</v>
      </c>
      <c r="H26" s="5" t="s">
        <v>9</v>
      </c>
      <c r="I26" s="8" cm="1">
        <f t="array" ref="I26">_xlfn.XLOOKUP(C26,$S$9:$S$11,_xlfn.XLOOKUP(F26,$T$8:$V$8,$T$9:$V$11))</f>
        <v>278.89999999999998</v>
      </c>
      <c r="J26" s="7" t="str">
        <f t="shared" si="0"/>
        <v>Somente Fortnite</v>
      </c>
    </row>
    <row r="27" spans="1:10">
      <c r="A27" s="5" t="s">
        <v>320</v>
      </c>
      <c r="B27" s="6" t="s">
        <v>47</v>
      </c>
      <c r="C27" s="5" t="s">
        <v>8</v>
      </c>
      <c r="D27" s="7" t="s">
        <v>615</v>
      </c>
      <c r="E27" s="5" t="s">
        <v>9</v>
      </c>
      <c r="F27" s="5" t="s">
        <v>10</v>
      </c>
      <c r="G27" s="5" t="s">
        <v>9</v>
      </c>
      <c r="H27" s="5" t="s">
        <v>9</v>
      </c>
      <c r="I27" s="8" cm="1">
        <f t="array" ref="I27">_xlfn.XLOOKUP(C27,$S$9:$S$11,_xlfn.XLOOKUP(F27,$T$8:$V$8,$T$9:$V$11))</f>
        <v>538.9</v>
      </c>
      <c r="J27" s="7" t="str">
        <f t="shared" si="0"/>
        <v>Fortnite + Ubisoft</v>
      </c>
    </row>
    <row r="28" spans="1:10">
      <c r="A28" s="5" t="s">
        <v>321</v>
      </c>
      <c r="B28" s="6" t="s">
        <v>48</v>
      </c>
      <c r="C28" s="5" t="s">
        <v>13</v>
      </c>
      <c r="D28" s="7" t="s">
        <v>616</v>
      </c>
      <c r="E28" s="5" t="s">
        <v>9</v>
      </c>
      <c r="F28" s="5" t="s">
        <v>15</v>
      </c>
      <c r="G28" s="5" t="s">
        <v>14</v>
      </c>
      <c r="H28" s="5" t="s">
        <v>14</v>
      </c>
      <c r="I28" s="8" cm="1">
        <f t="array" ref="I28">_xlfn.XLOOKUP(C28,$S$9:$S$11,_xlfn.XLOOKUP(F28,$T$8:$V$8,$T$9:$V$11))</f>
        <v>34.9</v>
      </c>
      <c r="J28" s="7" t="str">
        <f t="shared" si="0"/>
        <v>Nenhum Add-on</v>
      </c>
    </row>
    <row r="29" spans="1:10">
      <c r="A29" s="5" t="s">
        <v>322</v>
      </c>
      <c r="B29" s="6" t="s">
        <v>49</v>
      </c>
      <c r="C29" s="5" t="s">
        <v>18</v>
      </c>
      <c r="D29" s="7" t="s">
        <v>617</v>
      </c>
      <c r="E29" s="5" t="s">
        <v>9</v>
      </c>
      <c r="F29" s="5" t="s">
        <v>19</v>
      </c>
      <c r="G29" s="5" t="s">
        <v>9</v>
      </c>
      <c r="H29" s="5" t="s">
        <v>14</v>
      </c>
      <c r="I29" s="8" cm="1">
        <f t="array" ref="I29">_xlfn.XLOOKUP(C29,$S$9:$S$11,_xlfn.XLOOKUP(F29,$T$8:$V$8,$T$9:$V$11))</f>
        <v>139.9</v>
      </c>
      <c r="J29" s="7" t="str">
        <f t="shared" si="0"/>
        <v>Somente Ubisoft</v>
      </c>
    </row>
    <row r="30" spans="1:10">
      <c r="A30" s="5" t="s">
        <v>323</v>
      </c>
      <c r="B30" s="6" t="s">
        <v>50</v>
      </c>
      <c r="C30" s="5" t="s">
        <v>8</v>
      </c>
      <c r="D30" s="7" t="s">
        <v>618</v>
      </c>
      <c r="E30" s="5" t="s">
        <v>14</v>
      </c>
      <c r="F30" s="5" t="s">
        <v>15</v>
      </c>
      <c r="G30" s="5" t="s">
        <v>9</v>
      </c>
      <c r="H30" s="5" t="s">
        <v>9</v>
      </c>
      <c r="I30" s="8" cm="1">
        <f t="array" ref="I30">_xlfn.XLOOKUP(C30,$S$9:$S$11,_xlfn.XLOOKUP(F30,$T$8:$V$8,$T$9:$V$11))</f>
        <v>59.9</v>
      </c>
      <c r="J30" s="7" t="str">
        <f t="shared" si="0"/>
        <v>Fortnite + Ubisoft</v>
      </c>
    </row>
    <row r="31" spans="1:10">
      <c r="A31" s="5" t="s">
        <v>324</v>
      </c>
      <c r="B31" s="6" t="s">
        <v>51</v>
      </c>
      <c r="C31" s="5" t="s">
        <v>13</v>
      </c>
      <c r="D31" s="7" t="s">
        <v>619</v>
      </c>
      <c r="E31" s="5" t="s">
        <v>14</v>
      </c>
      <c r="F31" s="5" t="s">
        <v>10</v>
      </c>
      <c r="G31" s="5" t="s">
        <v>14</v>
      </c>
      <c r="H31" s="5" t="s">
        <v>9</v>
      </c>
      <c r="I31" s="8" cm="1">
        <f t="array" ref="I31">_xlfn.XLOOKUP(C31,$S$9:$S$11,_xlfn.XLOOKUP(F31,$T$8:$V$8,$T$9:$V$11))</f>
        <v>278.89999999999998</v>
      </c>
      <c r="J31" s="7" t="str">
        <f t="shared" si="0"/>
        <v>Somente Fortnite</v>
      </c>
    </row>
    <row r="32" spans="1:10">
      <c r="A32" s="5" t="s">
        <v>325</v>
      </c>
      <c r="B32" s="6" t="s">
        <v>52</v>
      </c>
      <c r="C32" s="5" t="s">
        <v>8</v>
      </c>
      <c r="D32" s="7" t="s">
        <v>620</v>
      </c>
      <c r="E32" s="5" t="s">
        <v>9</v>
      </c>
      <c r="F32" s="5" t="s">
        <v>10</v>
      </c>
      <c r="G32" s="5" t="s">
        <v>9</v>
      </c>
      <c r="H32" s="5" t="s">
        <v>9</v>
      </c>
      <c r="I32" s="8" cm="1">
        <f t="array" ref="I32">_xlfn.XLOOKUP(C32,$S$9:$S$11,_xlfn.XLOOKUP(F32,$T$8:$V$8,$T$9:$V$11))</f>
        <v>538.9</v>
      </c>
      <c r="J32" s="7" t="str">
        <f t="shared" si="0"/>
        <v>Fortnite + Ubisoft</v>
      </c>
    </row>
    <row r="33" spans="1:10">
      <c r="A33" s="5" t="s">
        <v>326</v>
      </c>
      <c r="B33" s="6" t="s">
        <v>53</v>
      </c>
      <c r="C33" s="5" t="s">
        <v>13</v>
      </c>
      <c r="D33" s="7" t="s">
        <v>621</v>
      </c>
      <c r="E33" s="5" t="s">
        <v>9</v>
      </c>
      <c r="F33" s="5" t="s">
        <v>15</v>
      </c>
      <c r="G33" s="5" t="s">
        <v>14</v>
      </c>
      <c r="H33" s="5" t="s">
        <v>14</v>
      </c>
      <c r="I33" s="8" cm="1">
        <f t="array" ref="I33">_xlfn.XLOOKUP(C33,$S$9:$S$11,_xlfn.XLOOKUP(F33,$T$8:$V$8,$T$9:$V$11))</f>
        <v>34.9</v>
      </c>
      <c r="J33" s="7" t="str">
        <f t="shared" si="0"/>
        <v>Nenhum Add-on</v>
      </c>
    </row>
    <row r="34" spans="1:10">
      <c r="A34" s="5" t="s">
        <v>327</v>
      </c>
      <c r="B34" s="6" t="s">
        <v>54</v>
      </c>
      <c r="C34" s="5" t="s">
        <v>18</v>
      </c>
      <c r="D34" s="7" t="s">
        <v>622</v>
      </c>
      <c r="E34" s="5" t="s">
        <v>9</v>
      </c>
      <c r="F34" s="5" t="s">
        <v>19</v>
      </c>
      <c r="G34" s="5" t="s">
        <v>9</v>
      </c>
      <c r="H34" s="5" t="s">
        <v>14</v>
      </c>
      <c r="I34" s="8" cm="1">
        <f t="array" ref="I34">_xlfn.XLOOKUP(C34,$S$9:$S$11,_xlfn.XLOOKUP(F34,$T$8:$V$8,$T$9:$V$11))</f>
        <v>139.9</v>
      </c>
      <c r="J34" s="7" t="str">
        <f t="shared" si="0"/>
        <v>Somente Ubisoft</v>
      </c>
    </row>
    <row r="35" spans="1:10">
      <c r="A35" s="5" t="s">
        <v>328</v>
      </c>
      <c r="B35" s="6" t="s">
        <v>55</v>
      </c>
      <c r="C35" s="5" t="s">
        <v>8</v>
      </c>
      <c r="D35" s="7" t="s">
        <v>623</v>
      </c>
      <c r="E35" s="5" t="s">
        <v>9</v>
      </c>
      <c r="F35" s="5" t="s">
        <v>15</v>
      </c>
      <c r="G35" s="5" t="s">
        <v>9</v>
      </c>
      <c r="H35" s="5" t="s">
        <v>9</v>
      </c>
      <c r="I35" s="8" cm="1">
        <f t="array" ref="I35">_xlfn.XLOOKUP(C35,$S$9:$S$11,_xlfn.XLOOKUP(F35,$T$8:$V$8,$T$9:$V$11))</f>
        <v>59.9</v>
      </c>
      <c r="J35" s="7" t="str">
        <f t="shared" si="0"/>
        <v>Fortnite + Ubisoft</v>
      </c>
    </row>
    <row r="36" spans="1:10">
      <c r="A36" s="5" t="s">
        <v>329</v>
      </c>
      <c r="B36" s="6" t="s">
        <v>56</v>
      </c>
      <c r="C36" s="5" t="s">
        <v>13</v>
      </c>
      <c r="D36" s="7" t="s">
        <v>624</v>
      </c>
      <c r="E36" s="5" t="s">
        <v>14</v>
      </c>
      <c r="F36" s="5" t="s">
        <v>10</v>
      </c>
      <c r="G36" s="5" t="s">
        <v>14</v>
      </c>
      <c r="H36" s="5" t="s">
        <v>9</v>
      </c>
      <c r="I36" s="8" cm="1">
        <f t="array" ref="I36">_xlfn.XLOOKUP(C36,$S$9:$S$11,_xlfn.XLOOKUP(F36,$T$8:$V$8,$T$9:$V$11))</f>
        <v>278.89999999999998</v>
      </c>
      <c r="J36" s="7" t="str">
        <f t="shared" si="0"/>
        <v>Somente Fortnite</v>
      </c>
    </row>
    <row r="37" spans="1:10">
      <c r="A37" s="5" t="s">
        <v>330</v>
      </c>
      <c r="B37" s="6" t="s">
        <v>57</v>
      </c>
      <c r="C37" s="5" t="s">
        <v>8</v>
      </c>
      <c r="D37" s="7" t="s">
        <v>625</v>
      </c>
      <c r="E37" s="5" t="s">
        <v>9</v>
      </c>
      <c r="F37" s="5" t="s">
        <v>10</v>
      </c>
      <c r="G37" s="5" t="s">
        <v>9</v>
      </c>
      <c r="H37" s="5" t="s">
        <v>9</v>
      </c>
      <c r="I37" s="8" cm="1">
        <f t="array" ref="I37">_xlfn.XLOOKUP(C37,$S$9:$S$11,_xlfn.XLOOKUP(F37,$T$8:$V$8,$T$9:$V$11))</f>
        <v>538.9</v>
      </c>
      <c r="J37" s="7" t="str">
        <f t="shared" si="0"/>
        <v>Fortnite + Ubisoft</v>
      </c>
    </row>
    <row r="38" spans="1:10">
      <c r="A38" s="5" t="s">
        <v>331</v>
      </c>
      <c r="B38" s="6" t="s">
        <v>58</v>
      </c>
      <c r="C38" s="5" t="s">
        <v>13</v>
      </c>
      <c r="D38" s="7" t="s">
        <v>597</v>
      </c>
      <c r="E38" s="5" t="s">
        <v>14</v>
      </c>
      <c r="F38" s="5" t="s">
        <v>15</v>
      </c>
      <c r="G38" s="5" t="s">
        <v>14</v>
      </c>
      <c r="H38" s="5" t="s">
        <v>14</v>
      </c>
      <c r="I38" s="8" cm="1">
        <f t="array" ref="I38">_xlfn.XLOOKUP(C38,$S$9:$S$11,_xlfn.XLOOKUP(F38,$T$8:$V$8,$T$9:$V$11))</f>
        <v>34.9</v>
      </c>
      <c r="J38" s="7" t="str">
        <f t="shared" si="0"/>
        <v>Nenhum Add-on</v>
      </c>
    </row>
    <row r="39" spans="1:10">
      <c r="A39" s="5" t="s">
        <v>332</v>
      </c>
      <c r="B39" s="6" t="s">
        <v>59</v>
      </c>
      <c r="C39" s="5" t="s">
        <v>18</v>
      </c>
      <c r="D39" s="7" t="s">
        <v>626</v>
      </c>
      <c r="E39" s="5" t="s">
        <v>9</v>
      </c>
      <c r="F39" s="5" t="s">
        <v>19</v>
      </c>
      <c r="G39" s="5" t="s">
        <v>9</v>
      </c>
      <c r="H39" s="5" t="s">
        <v>14</v>
      </c>
      <c r="I39" s="8" cm="1">
        <f t="array" ref="I39">_xlfn.XLOOKUP(C39,$S$9:$S$11,_xlfn.XLOOKUP(F39,$T$8:$V$8,$T$9:$V$11))</f>
        <v>139.9</v>
      </c>
      <c r="J39" s="7" t="str">
        <f t="shared" si="0"/>
        <v>Somente Ubisoft</v>
      </c>
    </row>
    <row r="40" spans="1:10">
      <c r="A40" s="5" t="s">
        <v>333</v>
      </c>
      <c r="B40" s="6" t="s">
        <v>60</v>
      </c>
      <c r="C40" s="5" t="s">
        <v>8</v>
      </c>
      <c r="D40" s="7" t="s">
        <v>627</v>
      </c>
      <c r="E40" s="5" t="s">
        <v>9</v>
      </c>
      <c r="F40" s="5" t="s">
        <v>15</v>
      </c>
      <c r="G40" s="5" t="s">
        <v>9</v>
      </c>
      <c r="H40" s="5" t="s">
        <v>9</v>
      </c>
      <c r="I40" s="8" cm="1">
        <f t="array" ref="I40">_xlfn.XLOOKUP(C40,$S$9:$S$11,_xlfn.XLOOKUP(F40,$T$8:$V$8,$T$9:$V$11))</f>
        <v>59.9</v>
      </c>
      <c r="J40" s="7" t="str">
        <f t="shared" si="0"/>
        <v>Fortnite + Ubisoft</v>
      </c>
    </row>
    <row r="41" spans="1:10">
      <c r="A41" s="5" t="s">
        <v>334</v>
      </c>
      <c r="B41" s="6" t="s">
        <v>61</v>
      </c>
      <c r="C41" s="5" t="s">
        <v>13</v>
      </c>
      <c r="D41" s="7" t="s">
        <v>628</v>
      </c>
      <c r="E41" s="5" t="s">
        <v>14</v>
      </c>
      <c r="F41" s="5" t="s">
        <v>10</v>
      </c>
      <c r="G41" s="5" t="s">
        <v>14</v>
      </c>
      <c r="H41" s="5" t="s">
        <v>9</v>
      </c>
      <c r="I41" s="8" cm="1">
        <f t="array" ref="I41">_xlfn.XLOOKUP(C41,$S$9:$S$11,_xlfn.XLOOKUP(F41,$T$8:$V$8,$T$9:$V$11))</f>
        <v>278.89999999999998</v>
      </c>
      <c r="J41" s="7" t="str">
        <f t="shared" si="0"/>
        <v>Somente Fortnite</v>
      </c>
    </row>
    <row r="42" spans="1:10">
      <c r="A42" s="5" t="s">
        <v>335</v>
      </c>
      <c r="B42" s="6" t="s">
        <v>62</v>
      </c>
      <c r="C42" s="5" t="s">
        <v>8</v>
      </c>
      <c r="D42" s="7" t="s">
        <v>629</v>
      </c>
      <c r="E42" s="5" t="s">
        <v>9</v>
      </c>
      <c r="F42" s="5" t="s">
        <v>10</v>
      </c>
      <c r="G42" s="5" t="s">
        <v>9</v>
      </c>
      <c r="H42" s="5" t="s">
        <v>9</v>
      </c>
      <c r="I42" s="8" cm="1">
        <f t="array" ref="I42">_xlfn.XLOOKUP(C42,$S$9:$S$11,_xlfn.XLOOKUP(F42,$T$8:$V$8,$T$9:$V$11))</f>
        <v>538.9</v>
      </c>
      <c r="J42" s="7" t="str">
        <f t="shared" si="0"/>
        <v>Fortnite + Ubisoft</v>
      </c>
    </row>
    <row r="43" spans="1:10">
      <c r="A43" s="5" t="s">
        <v>336</v>
      </c>
      <c r="B43" s="6" t="s">
        <v>63</v>
      </c>
      <c r="C43" s="5" t="s">
        <v>13</v>
      </c>
      <c r="D43" s="7" t="s">
        <v>630</v>
      </c>
      <c r="E43" s="5" t="s">
        <v>14</v>
      </c>
      <c r="F43" s="5" t="s">
        <v>15</v>
      </c>
      <c r="G43" s="5" t="s">
        <v>14</v>
      </c>
      <c r="H43" s="5" t="s">
        <v>14</v>
      </c>
      <c r="I43" s="8" cm="1">
        <f t="array" ref="I43">_xlfn.XLOOKUP(C43,$S$9:$S$11,_xlfn.XLOOKUP(F43,$T$8:$V$8,$T$9:$V$11))</f>
        <v>34.9</v>
      </c>
      <c r="J43" s="7" t="str">
        <f t="shared" si="0"/>
        <v>Nenhum Add-on</v>
      </c>
    </row>
    <row r="44" spans="1:10">
      <c r="A44" s="5" t="s">
        <v>337</v>
      </c>
      <c r="B44" s="6" t="s">
        <v>64</v>
      </c>
      <c r="C44" s="5" t="s">
        <v>18</v>
      </c>
      <c r="D44" s="7" t="s">
        <v>631</v>
      </c>
      <c r="E44" s="5" t="s">
        <v>9</v>
      </c>
      <c r="F44" s="5" t="s">
        <v>19</v>
      </c>
      <c r="G44" s="5" t="s">
        <v>9</v>
      </c>
      <c r="H44" s="5" t="s">
        <v>14</v>
      </c>
      <c r="I44" s="8" cm="1">
        <f t="array" ref="I44">_xlfn.XLOOKUP(C44,$S$9:$S$11,_xlfn.XLOOKUP(F44,$T$8:$V$8,$T$9:$V$11))</f>
        <v>139.9</v>
      </c>
      <c r="J44" s="7" t="str">
        <f t="shared" si="0"/>
        <v>Somente Ubisoft</v>
      </c>
    </row>
    <row r="45" spans="1:10">
      <c r="A45" s="5" t="s">
        <v>338</v>
      </c>
      <c r="B45" s="6" t="s">
        <v>65</v>
      </c>
      <c r="C45" s="5" t="s">
        <v>8</v>
      </c>
      <c r="D45" s="7" t="s">
        <v>632</v>
      </c>
      <c r="E45" s="5" t="s">
        <v>9</v>
      </c>
      <c r="F45" s="5" t="s">
        <v>15</v>
      </c>
      <c r="G45" s="5" t="s">
        <v>9</v>
      </c>
      <c r="H45" s="5" t="s">
        <v>9</v>
      </c>
      <c r="I45" s="8" cm="1">
        <f t="array" ref="I45">_xlfn.XLOOKUP(C45,$S$9:$S$11,_xlfn.XLOOKUP(F45,$T$8:$V$8,$T$9:$V$11))</f>
        <v>59.9</v>
      </c>
      <c r="J45" s="7" t="str">
        <f t="shared" si="0"/>
        <v>Fortnite + Ubisoft</v>
      </c>
    </row>
    <row r="46" spans="1:10">
      <c r="A46" s="5" t="s">
        <v>339</v>
      </c>
      <c r="B46" s="6" t="s">
        <v>66</v>
      </c>
      <c r="C46" s="5" t="s">
        <v>13</v>
      </c>
      <c r="D46" s="7" t="s">
        <v>633</v>
      </c>
      <c r="E46" s="5" t="s">
        <v>9</v>
      </c>
      <c r="F46" s="5" t="s">
        <v>10</v>
      </c>
      <c r="G46" s="5" t="s">
        <v>14</v>
      </c>
      <c r="H46" s="5" t="s">
        <v>9</v>
      </c>
      <c r="I46" s="8" cm="1">
        <f t="array" ref="I46">_xlfn.XLOOKUP(C46,$S$9:$S$11,_xlfn.XLOOKUP(F46,$T$8:$V$8,$T$9:$V$11))</f>
        <v>278.89999999999998</v>
      </c>
      <c r="J46" s="7" t="str">
        <f t="shared" si="0"/>
        <v>Somente Fortnite</v>
      </c>
    </row>
    <row r="47" spans="1:10">
      <c r="A47" s="5" t="s">
        <v>340</v>
      </c>
      <c r="B47" s="6" t="s">
        <v>67</v>
      </c>
      <c r="C47" s="5" t="s">
        <v>8</v>
      </c>
      <c r="D47" s="7" t="s">
        <v>634</v>
      </c>
      <c r="E47" s="5" t="s">
        <v>14</v>
      </c>
      <c r="F47" s="5" t="s">
        <v>10</v>
      </c>
      <c r="G47" s="5" t="s">
        <v>9</v>
      </c>
      <c r="H47" s="5" t="s">
        <v>9</v>
      </c>
      <c r="I47" s="8" cm="1">
        <f t="array" ref="I47">_xlfn.XLOOKUP(C47,$S$9:$S$11,_xlfn.XLOOKUP(F47,$T$8:$V$8,$T$9:$V$11))</f>
        <v>538.9</v>
      </c>
      <c r="J47" s="7" t="str">
        <f t="shared" si="0"/>
        <v>Fortnite + Ubisoft</v>
      </c>
    </row>
    <row r="48" spans="1:10">
      <c r="A48" s="5" t="s">
        <v>341</v>
      </c>
      <c r="B48" s="6" t="s">
        <v>68</v>
      </c>
      <c r="C48" s="5" t="s">
        <v>13</v>
      </c>
      <c r="D48" s="7" t="s">
        <v>635</v>
      </c>
      <c r="E48" s="5" t="s">
        <v>14</v>
      </c>
      <c r="F48" s="5" t="s">
        <v>15</v>
      </c>
      <c r="G48" s="5" t="s">
        <v>14</v>
      </c>
      <c r="H48" s="5" t="s">
        <v>14</v>
      </c>
      <c r="I48" s="8" cm="1">
        <f t="array" ref="I48">_xlfn.XLOOKUP(C48,$S$9:$S$11,_xlfn.XLOOKUP(F48,$T$8:$V$8,$T$9:$V$11))</f>
        <v>34.9</v>
      </c>
      <c r="J48" s="7" t="str">
        <f t="shared" si="0"/>
        <v>Nenhum Add-on</v>
      </c>
    </row>
    <row r="49" spans="1:10">
      <c r="A49" s="5" t="s">
        <v>342</v>
      </c>
      <c r="B49" s="6" t="s">
        <v>69</v>
      </c>
      <c r="C49" s="5" t="s">
        <v>18</v>
      </c>
      <c r="D49" s="7" t="s">
        <v>636</v>
      </c>
      <c r="E49" s="5" t="s">
        <v>9</v>
      </c>
      <c r="F49" s="5" t="s">
        <v>19</v>
      </c>
      <c r="G49" s="5" t="s">
        <v>9</v>
      </c>
      <c r="H49" s="5" t="s">
        <v>14</v>
      </c>
      <c r="I49" s="8" cm="1">
        <f t="array" ref="I49">_xlfn.XLOOKUP(C49,$S$9:$S$11,_xlfn.XLOOKUP(F49,$T$8:$V$8,$T$9:$V$11))</f>
        <v>139.9</v>
      </c>
      <c r="J49" s="7" t="str">
        <f t="shared" si="0"/>
        <v>Somente Ubisoft</v>
      </c>
    </row>
    <row r="50" spans="1:10">
      <c r="A50" s="5" t="s">
        <v>343</v>
      </c>
      <c r="B50" s="6" t="s">
        <v>70</v>
      </c>
      <c r="C50" s="5" t="s">
        <v>8</v>
      </c>
      <c r="D50" s="7" t="s">
        <v>637</v>
      </c>
      <c r="E50" s="5" t="s">
        <v>9</v>
      </c>
      <c r="F50" s="5" t="s">
        <v>15</v>
      </c>
      <c r="G50" s="5" t="s">
        <v>9</v>
      </c>
      <c r="H50" s="5" t="s">
        <v>9</v>
      </c>
      <c r="I50" s="8" cm="1">
        <f t="array" ref="I50">_xlfn.XLOOKUP(C50,$S$9:$S$11,_xlfn.XLOOKUP(F50,$T$8:$V$8,$T$9:$V$11))</f>
        <v>59.9</v>
      </c>
      <c r="J50" s="7" t="str">
        <f t="shared" si="0"/>
        <v>Fortnite + Ubisoft</v>
      </c>
    </row>
    <row r="51" spans="1:10">
      <c r="A51" s="5" t="s">
        <v>344</v>
      </c>
      <c r="B51" s="6" t="s">
        <v>71</v>
      </c>
      <c r="C51" s="5" t="s">
        <v>13</v>
      </c>
      <c r="D51" s="7" t="s">
        <v>638</v>
      </c>
      <c r="E51" s="5" t="s">
        <v>9</v>
      </c>
      <c r="F51" s="5" t="s">
        <v>10</v>
      </c>
      <c r="G51" s="5" t="s">
        <v>14</v>
      </c>
      <c r="H51" s="5" t="s">
        <v>9</v>
      </c>
      <c r="I51" s="8" cm="1">
        <f t="array" ref="I51">_xlfn.XLOOKUP(C51,$S$9:$S$11,_xlfn.XLOOKUP(F51,$T$8:$V$8,$T$9:$V$11))</f>
        <v>278.89999999999998</v>
      </c>
      <c r="J51" s="7" t="str">
        <f t="shared" si="0"/>
        <v>Somente Fortnite</v>
      </c>
    </row>
    <row r="52" spans="1:10">
      <c r="A52" s="5" t="s">
        <v>345</v>
      </c>
      <c r="B52" s="6" t="s">
        <v>72</v>
      </c>
      <c r="C52" s="5" t="s">
        <v>8</v>
      </c>
      <c r="D52" s="7" t="s">
        <v>609</v>
      </c>
      <c r="E52" s="5" t="s">
        <v>9</v>
      </c>
      <c r="F52" s="5" t="s">
        <v>10</v>
      </c>
      <c r="G52" s="5" t="s">
        <v>9</v>
      </c>
      <c r="H52" s="5" t="s">
        <v>9</v>
      </c>
      <c r="I52" s="8" cm="1">
        <f t="array" ref="I52">_xlfn.XLOOKUP(C52,$S$9:$S$11,_xlfn.XLOOKUP(F52,$T$8:$V$8,$T$9:$V$11))</f>
        <v>538.9</v>
      </c>
      <c r="J52" s="7" t="str">
        <f t="shared" si="0"/>
        <v>Fortnite + Ubisoft</v>
      </c>
    </row>
    <row r="53" spans="1:10">
      <c r="A53" s="5" t="s">
        <v>346</v>
      </c>
      <c r="B53" s="6" t="s">
        <v>73</v>
      </c>
      <c r="C53" s="5" t="s">
        <v>13</v>
      </c>
      <c r="D53" s="7" t="s">
        <v>639</v>
      </c>
      <c r="E53" s="5" t="s">
        <v>9</v>
      </c>
      <c r="F53" s="5" t="s">
        <v>15</v>
      </c>
      <c r="G53" s="5" t="s">
        <v>14</v>
      </c>
      <c r="H53" s="5" t="s">
        <v>14</v>
      </c>
      <c r="I53" s="8" cm="1">
        <f t="array" ref="I53">_xlfn.XLOOKUP(C53,$S$9:$S$11,_xlfn.XLOOKUP(F53,$T$8:$V$8,$T$9:$V$11))</f>
        <v>34.9</v>
      </c>
      <c r="J53" s="7" t="str">
        <f t="shared" si="0"/>
        <v>Nenhum Add-on</v>
      </c>
    </row>
    <row r="54" spans="1:10">
      <c r="A54" s="5" t="s">
        <v>347</v>
      </c>
      <c r="B54" s="6" t="s">
        <v>74</v>
      </c>
      <c r="C54" s="5" t="s">
        <v>18</v>
      </c>
      <c r="D54" s="7" t="s">
        <v>640</v>
      </c>
      <c r="E54" s="5" t="s">
        <v>9</v>
      </c>
      <c r="F54" s="5" t="s">
        <v>19</v>
      </c>
      <c r="G54" s="5" t="s">
        <v>9</v>
      </c>
      <c r="H54" s="5" t="s">
        <v>14</v>
      </c>
      <c r="I54" s="8" cm="1">
        <f t="array" ref="I54">_xlfn.XLOOKUP(C54,$S$9:$S$11,_xlfn.XLOOKUP(F54,$T$8:$V$8,$T$9:$V$11))</f>
        <v>139.9</v>
      </c>
      <c r="J54" s="7" t="str">
        <f t="shared" si="0"/>
        <v>Somente Ubisoft</v>
      </c>
    </row>
    <row r="55" spans="1:10">
      <c r="A55" s="5" t="s">
        <v>348</v>
      </c>
      <c r="B55" s="6" t="s">
        <v>75</v>
      </c>
      <c r="C55" s="5" t="s">
        <v>8</v>
      </c>
      <c r="D55" s="7" t="s">
        <v>641</v>
      </c>
      <c r="E55" s="5" t="s">
        <v>9</v>
      </c>
      <c r="F55" s="5" t="s">
        <v>15</v>
      </c>
      <c r="G55" s="5" t="s">
        <v>9</v>
      </c>
      <c r="H55" s="5" t="s">
        <v>9</v>
      </c>
      <c r="I55" s="8" cm="1">
        <f t="array" ref="I55">_xlfn.XLOOKUP(C55,$S$9:$S$11,_xlfn.XLOOKUP(F55,$T$8:$V$8,$T$9:$V$11))</f>
        <v>59.9</v>
      </c>
      <c r="J55" s="7" t="str">
        <f t="shared" si="0"/>
        <v>Fortnite + Ubisoft</v>
      </c>
    </row>
    <row r="56" spans="1:10">
      <c r="A56" s="5" t="s">
        <v>349</v>
      </c>
      <c r="B56" s="6" t="s">
        <v>76</v>
      </c>
      <c r="C56" s="5" t="s">
        <v>13</v>
      </c>
      <c r="D56" s="7" t="s">
        <v>642</v>
      </c>
      <c r="E56" s="5" t="s">
        <v>14</v>
      </c>
      <c r="F56" s="5" t="s">
        <v>10</v>
      </c>
      <c r="G56" s="5" t="s">
        <v>14</v>
      </c>
      <c r="H56" s="5" t="s">
        <v>9</v>
      </c>
      <c r="I56" s="8" cm="1">
        <f t="array" ref="I56">_xlfn.XLOOKUP(C56,$S$9:$S$11,_xlfn.XLOOKUP(F56,$T$8:$V$8,$T$9:$V$11))</f>
        <v>278.89999999999998</v>
      </c>
      <c r="J56" s="7" t="str">
        <f t="shared" si="0"/>
        <v>Somente Fortnite</v>
      </c>
    </row>
    <row r="57" spans="1:10">
      <c r="A57" s="5" t="s">
        <v>350</v>
      </c>
      <c r="B57" s="6" t="s">
        <v>77</v>
      </c>
      <c r="C57" s="5" t="s">
        <v>8</v>
      </c>
      <c r="D57" s="7" t="s">
        <v>643</v>
      </c>
      <c r="E57" s="5" t="s">
        <v>14</v>
      </c>
      <c r="F57" s="5" t="s">
        <v>10</v>
      </c>
      <c r="G57" s="5" t="s">
        <v>9</v>
      </c>
      <c r="H57" s="5" t="s">
        <v>9</v>
      </c>
      <c r="I57" s="8" cm="1">
        <f t="array" ref="I57">_xlfn.XLOOKUP(C57,$S$9:$S$11,_xlfn.XLOOKUP(F57,$T$8:$V$8,$T$9:$V$11))</f>
        <v>538.9</v>
      </c>
      <c r="J57" s="7" t="str">
        <f t="shared" si="0"/>
        <v>Fortnite + Ubisoft</v>
      </c>
    </row>
    <row r="58" spans="1:10">
      <c r="A58" s="5" t="s">
        <v>351</v>
      </c>
      <c r="B58" s="6" t="s">
        <v>78</v>
      </c>
      <c r="C58" s="5" t="s">
        <v>13</v>
      </c>
      <c r="D58" s="7" t="s">
        <v>644</v>
      </c>
      <c r="E58" s="5" t="s">
        <v>14</v>
      </c>
      <c r="F58" s="5" t="s">
        <v>15</v>
      </c>
      <c r="G58" s="5" t="s">
        <v>14</v>
      </c>
      <c r="H58" s="5" t="s">
        <v>14</v>
      </c>
      <c r="I58" s="8" cm="1">
        <f t="array" ref="I58">_xlfn.XLOOKUP(C58,$S$9:$S$11,_xlfn.XLOOKUP(F58,$T$8:$V$8,$T$9:$V$11))</f>
        <v>34.9</v>
      </c>
      <c r="J58" s="7" t="str">
        <f t="shared" si="0"/>
        <v>Nenhum Add-on</v>
      </c>
    </row>
    <row r="59" spans="1:10">
      <c r="A59" s="5" t="s">
        <v>352</v>
      </c>
      <c r="B59" s="6" t="s">
        <v>79</v>
      </c>
      <c r="C59" s="5" t="s">
        <v>18</v>
      </c>
      <c r="D59" s="7" t="s">
        <v>645</v>
      </c>
      <c r="E59" s="5" t="s">
        <v>9</v>
      </c>
      <c r="F59" s="5" t="s">
        <v>19</v>
      </c>
      <c r="G59" s="5" t="s">
        <v>9</v>
      </c>
      <c r="H59" s="5" t="s">
        <v>14</v>
      </c>
      <c r="I59" s="8" cm="1">
        <f t="array" ref="I59">_xlfn.XLOOKUP(C59,$S$9:$S$11,_xlfn.XLOOKUP(F59,$T$8:$V$8,$T$9:$V$11))</f>
        <v>139.9</v>
      </c>
      <c r="J59" s="7" t="str">
        <f t="shared" si="0"/>
        <v>Somente Ubisoft</v>
      </c>
    </row>
    <row r="60" spans="1:10">
      <c r="A60" s="5" t="s">
        <v>353</v>
      </c>
      <c r="B60" s="6" t="s">
        <v>80</v>
      </c>
      <c r="C60" s="5" t="s">
        <v>8</v>
      </c>
      <c r="D60" s="7" t="s">
        <v>646</v>
      </c>
      <c r="E60" s="5" t="s">
        <v>9</v>
      </c>
      <c r="F60" s="5" t="s">
        <v>15</v>
      </c>
      <c r="G60" s="5" t="s">
        <v>9</v>
      </c>
      <c r="H60" s="5" t="s">
        <v>9</v>
      </c>
      <c r="I60" s="8" cm="1">
        <f t="array" ref="I60">_xlfn.XLOOKUP(C60,$S$9:$S$11,_xlfn.XLOOKUP(F60,$T$8:$V$8,$T$9:$V$11))</f>
        <v>59.9</v>
      </c>
      <c r="J60" s="7" t="str">
        <f t="shared" si="0"/>
        <v>Fortnite + Ubisoft</v>
      </c>
    </row>
    <row r="61" spans="1:10">
      <c r="A61" s="5" t="s">
        <v>354</v>
      </c>
      <c r="B61" s="6" t="s">
        <v>81</v>
      </c>
      <c r="C61" s="5" t="s">
        <v>13</v>
      </c>
      <c r="D61" s="7" t="s">
        <v>611</v>
      </c>
      <c r="E61" s="5" t="s">
        <v>9</v>
      </c>
      <c r="F61" s="5" t="s">
        <v>10</v>
      </c>
      <c r="G61" s="5" t="s">
        <v>14</v>
      </c>
      <c r="H61" s="5" t="s">
        <v>9</v>
      </c>
      <c r="I61" s="8" cm="1">
        <f t="array" ref="I61">_xlfn.XLOOKUP(C61,$S$9:$S$11,_xlfn.XLOOKUP(F61,$T$8:$V$8,$T$9:$V$11))</f>
        <v>278.89999999999998</v>
      </c>
      <c r="J61" s="7" t="str">
        <f t="shared" si="0"/>
        <v>Somente Fortnite</v>
      </c>
    </row>
    <row r="62" spans="1:10">
      <c r="A62" s="5" t="s">
        <v>355</v>
      </c>
      <c r="B62" s="6" t="s">
        <v>82</v>
      </c>
      <c r="C62" s="5" t="s">
        <v>8</v>
      </c>
      <c r="D62" s="7" t="s">
        <v>647</v>
      </c>
      <c r="E62" s="5" t="s">
        <v>9</v>
      </c>
      <c r="F62" s="5" t="s">
        <v>10</v>
      </c>
      <c r="G62" s="5" t="s">
        <v>9</v>
      </c>
      <c r="H62" s="5" t="s">
        <v>9</v>
      </c>
      <c r="I62" s="8" cm="1">
        <f t="array" ref="I62">_xlfn.XLOOKUP(C62,$S$9:$S$11,_xlfn.XLOOKUP(F62,$T$8:$V$8,$T$9:$V$11))</f>
        <v>538.9</v>
      </c>
      <c r="J62" s="7" t="str">
        <f t="shared" si="0"/>
        <v>Fortnite + Ubisoft</v>
      </c>
    </row>
    <row r="63" spans="1:10">
      <c r="A63" s="5" t="s">
        <v>356</v>
      </c>
      <c r="B63" s="6" t="s">
        <v>83</v>
      </c>
      <c r="C63" s="5" t="s">
        <v>13</v>
      </c>
      <c r="D63" s="7" t="s">
        <v>648</v>
      </c>
      <c r="E63" s="5" t="s">
        <v>9</v>
      </c>
      <c r="F63" s="5" t="s">
        <v>15</v>
      </c>
      <c r="G63" s="5" t="s">
        <v>14</v>
      </c>
      <c r="H63" s="5" t="s">
        <v>14</v>
      </c>
      <c r="I63" s="8" cm="1">
        <f t="array" ref="I63">_xlfn.XLOOKUP(C63,$S$9:$S$11,_xlfn.XLOOKUP(F63,$T$8:$V$8,$T$9:$V$11))</f>
        <v>34.9</v>
      </c>
      <c r="J63" s="7" t="str">
        <f t="shared" si="0"/>
        <v>Nenhum Add-on</v>
      </c>
    </row>
    <row r="64" spans="1:10">
      <c r="A64" s="5" t="s">
        <v>357</v>
      </c>
      <c r="B64" s="6" t="s">
        <v>84</v>
      </c>
      <c r="C64" s="5" t="s">
        <v>18</v>
      </c>
      <c r="D64" s="7" t="s">
        <v>649</v>
      </c>
      <c r="E64" s="5" t="s">
        <v>9</v>
      </c>
      <c r="F64" s="5" t="s">
        <v>19</v>
      </c>
      <c r="G64" s="5" t="s">
        <v>9</v>
      </c>
      <c r="H64" s="5" t="s">
        <v>14</v>
      </c>
      <c r="I64" s="8" cm="1">
        <f t="array" ref="I64">_xlfn.XLOOKUP(C64,$S$9:$S$11,_xlfn.XLOOKUP(F64,$T$8:$V$8,$T$9:$V$11))</f>
        <v>139.9</v>
      </c>
      <c r="J64" s="7" t="str">
        <f t="shared" si="0"/>
        <v>Somente Ubisoft</v>
      </c>
    </row>
    <row r="65" spans="1:10">
      <c r="A65" s="5" t="s">
        <v>358</v>
      </c>
      <c r="B65" s="6" t="s">
        <v>85</v>
      </c>
      <c r="C65" s="5" t="s">
        <v>8</v>
      </c>
      <c r="D65" s="7" t="s">
        <v>650</v>
      </c>
      <c r="E65" s="5" t="s">
        <v>9</v>
      </c>
      <c r="F65" s="5" t="s">
        <v>15</v>
      </c>
      <c r="G65" s="5" t="s">
        <v>9</v>
      </c>
      <c r="H65" s="5" t="s">
        <v>9</v>
      </c>
      <c r="I65" s="8" cm="1">
        <f t="array" ref="I65">_xlfn.XLOOKUP(C65,$S$9:$S$11,_xlfn.XLOOKUP(F65,$T$8:$V$8,$T$9:$V$11))</f>
        <v>59.9</v>
      </c>
      <c r="J65" s="7" t="str">
        <f t="shared" si="0"/>
        <v>Fortnite + Ubisoft</v>
      </c>
    </row>
    <row r="66" spans="1:10">
      <c r="A66" s="5" t="s">
        <v>359</v>
      </c>
      <c r="B66" s="6" t="s">
        <v>86</v>
      </c>
      <c r="C66" s="5" t="s">
        <v>13</v>
      </c>
      <c r="D66" s="7" t="s">
        <v>651</v>
      </c>
      <c r="E66" s="5" t="s">
        <v>14</v>
      </c>
      <c r="F66" s="5" t="s">
        <v>10</v>
      </c>
      <c r="G66" s="5" t="s">
        <v>14</v>
      </c>
      <c r="H66" s="5" t="s">
        <v>9</v>
      </c>
      <c r="I66" s="8" cm="1">
        <f t="array" ref="I66">_xlfn.XLOOKUP(C66,$S$9:$S$11,_xlfn.XLOOKUP(F66,$T$8:$V$8,$T$9:$V$11))</f>
        <v>278.89999999999998</v>
      </c>
      <c r="J66" s="7" t="str">
        <f t="shared" si="0"/>
        <v>Somente Fortnite</v>
      </c>
    </row>
    <row r="67" spans="1:10">
      <c r="A67" s="5" t="s">
        <v>360</v>
      </c>
      <c r="B67" s="6" t="s">
        <v>87</v>
      </c>
      <c r="C67" s="5" t="s">
        <v>8</v>
      </c>
      <c r="D67" s="7" t="s">
        <v>638</v>
      </c>
      <c r="E67" s="5" t="s">
        <v>9</v>
      </c>
      <c r="F67" s="5" t="s">
        <v>10</v>
      </c>
      <c r="G67" s="5" t="s">
        <v>9</v>
      </c>
      <c r="H67" s="5" t="s">
        <v>9</v>
      </c>
      <c r="I67" s="8" cm="1">
        <f t="array" ref="I67">_xlfn.XLOOKUP(C67,$S$9:$S$11,_xlfn.XLOOKUP(F67,$T$8:$V$8,$T$9:$V$11))</f>
        <v>538.9</v>
      </c>
      <c r="J67" s="7" t="str">
        <f t="shared" ref="J67:J130" si="1">IF(AND(G67="Sim",H67="Sim"),"Fortnite + Ubisoft",
IF(AND(G67="Sim",H67="Não"),"Somente Ubisoft",
IF(AND(G67="Não",H67="Sim"),"Somente Fortnite",
"Nenhum Add-on")))</f>
        <v>Fortnite + Ubisoft</v>
      </c>
    </row>
    <row r="68" spans="1:10">
      <c r="A68" s="5" t="s">
        <v>361</v>
      </c>
      <c r="B68" s="6" t="s">
        <v>88</v>
      </c>
      <c r="C68" s="5" t="s">
        <v>13</v>
      </c>
      <c r="D68" s="7" t="s">
        <v>652</v>
      </c>
      <c r="E68" s="5" t="s">
        <v>9</v>
      </c>
      <c r="F68" s="5" t="s">
        <v>15</v>
      </c>
      <c r="G68" s="5" t="s">
        <v>14</v>
      </c>
      <c r="H68" s="5" t="s">
        <v>14</v>
      </c>
      <c r="I68" s="8" cm="1">
        <f t="array" ref="I68">_xlfn.XLOOKUP(C68,$S$9:$S$11,_xlfn.XLOOKUP(F68,$T$8:$V$8,$T$9:$V$11))</f>
        <v>34.9</v>
      </c>
      <c r="J68" s="7" t="str">
        <f t="shared" si="1"/>
        <v>Nenhum Add-on</v>
      </c>
    </row>
    <row r="69" spans="1:10">
      <c r="A69" s="5" t="s">
        <v>362</v>
      </c>
      <c r="B69" s="6" t="s">
        <v>89</v>
      </c>
      <c r="C69" s="5" t="s">
        <v>18</v>
      </c>
      <c r="D69" s="7" t="s">
        <v>653</v>
      </c>
      <c r="E69" s="5" t="s">
        <v>9</v>
      </c>
      <c r="F69" s="5" t="s">
        <v>19</v>
      </c>
      <c r="G69" s="5" t="s">
        <v>9</v>
      </c>
      <c r="H69" s="5" t="s">
        <v>14</v>
      </c>
      <c r="I69" s="8" cm="1">
        <f t="array" ref="I69">_xlfn.XLOOKUP(C69,$S$9:$S$11,_xlfn.XLOOKUP(F69,$T$8:$V$8,$T$9:$V$11))</f>
        <v>139.9</v>
      </c>
      <c r="J69" s="7" t="str">
        <f t="shared" si="1"/>
        <v>Somente Ubisoft</v>
      </c>
    </row>
    <row r="70" spans="1:10">
      <c r="A70" s="5" t="s">
        <v>363</v>
      </c>
      <c r="B70" s="6" t="s">
        <v>90</v>
      </c>
      <c r="C70" s="5" t="s">
        <v>8</v>
      </c>
      <c r="D70" s="7" t="s">
        <v>654</v>
      </c>
      <c r="E70" s="5" t="s">
        <v>14</v>
      </c>
      <c r="F70" s="5" t="s">
        <v>15</v>
      </c>
      <c r="G70" s="5" t="s">
        <v>9</v>
      </c>
      <c r="H70" s="5" t="s">
        <v>9</v>
      </c>
      <c r="I70" s="8" cm="1">
        <f t="array" ref="I70">_xlfn.XLOOKUP(C70,$S$9:$S$11,_xlfn.XLOOKUP(F70,$T$8:$V$8,$T$9:$V$11))</f>
        <v>59.9</v>
      </c>
      <c r="J70" s="7" t="str">
        <f t="shared" si="1"/>
        <v>Fortnite + Ubisoft</v>
      </c>
    </row>
    <row r="71" spans="1:10">
      <c r="A71" s="5" t="s">
        <v>364</v>
      </c>
      <c r="B71" s="6" t="s">
        <v>91</v>
      </c>
      <c r="C71" s="5" t="s">
        <v>13</v>
      </c>
      <c r="D71" s="7" t="s">
        <v>655</v>
      </c>
      <c r="E71" s="5" t="s">
        <v>14</v>
      </c>
      <c r="F71" s="5" t="s">
        <v>10</v>
      </c>
      <c r="G71" s="5" t="s">
        <v>14</v>
      </c>
      <c r="H71" s="5" t="s">
        <v>9</v>
      </c>
      <c r="I71" s="8" cm="1">
        <f t="array" ref="I71">_xlfn.XLOOKUP(C71,$S$9:$S$11,_xlfn.XLOOKUP(F71,$T$8:$V$8,$T$9:$V$11))</f>
        <v>278.89999999999998</v>
      </c>
      <c r="J71" s="7" t="str">
        <f t="shared" si="1"/>
        <v>Somente Fortnite</v>
      </c>
    </row>
    <row r="72" spans="1:10">
      <c r="A72" s="5" t="s">
        <v>365</v>
      </c>
      <c r="B72" s="6" t="s">
        <v>92</v>
      </c>
      <c r="C72" s="5" t="s">
        <v>8</v>
      </c>
      <c r="D72" s="7" t="s">
        <v>656</v>
      </c>
      <c r="E72" s="5" t="s">
        <v>9</v>
      </c>
      <c r="F72" s="5" t="s">
        <v>10</v>
      </c>
      <c r="G72" s="5" t="s">
        <v>9</v>
      </c>
      <c r="H72" s="5" t="s">
        <v>9</v>
      </c>
      <c r="I72" s="8" cm="1">
        <f t="array" ref="I72">_xlfn.XLOOKUP(C72,$S$9:$S$11,_xlfn.XLOOKUP(F72,$T$8:$V$8,$T$9:$V$11))</f>
        <v>538.9</v>
      </c>
      <c r="J72" s="7" t="str">
        <f t="shared" si="1"/>
        <v>Fortnite + Ubisoft</v>
      </c>
    </row>
    <row r="73" spans="1:10">
      <c r="A73" s="5" t="s">
        <v>366</v>
      </c>
      <c r="B73" s="6" t="s">
        <v>93</v>
      </c>
      <c r="C73" s="5" t="s">
        <v>13</v>
      </c>
      <c r="D73" s="7" t="s">
        <v>657</v>
      </c>
      <c r="E73" s="5" t="s">
        <v>14</v>
      </c>
      <c r="F73" s="5" t="s">
        <v>15</v>
      </c>
      <c r="G73" s="5" t="s">
        <v>14</v>
      </c>
      <c r="H73" s="5" t="s">
        <v>14</v>
      </c>
      <c r="I73" s="8" cm="1">
        <f t="array" ref="I73">_xlfn.XLOOKUP(C73,$S$9:$S$11,_xlfn.XLOOKUP(F73,$T$8:$V$8,$T$9:$V$11))</f>
        <v>34.9</v>
      </c>
      <c r="J73" s="7" t="str">
        <f t="shared" si="1"/>
        <v>Nenhum Add-on</v>
      </c>
    </row>
    <row r="74" spans="1:10">
      <c r="A74" s="5" t="s">
        <v>367</v>
      </c>
      <c r="B74" s="6" t="s">
        <v>94</v>
      </c>
      <c r="C74" s="5" t="s">
        <v>18</v>
      </c>
      <c r="D74" s="7" t="s">
        <v>630</v>
      </c>
      <c r="E74" s="5" t="s">
        <v>9</v>
      </c>
      <c r="F74" s="5" t="s">
        <v>19</v>
      </c>
      <c r="G74" s="5" t="s">
        <v>9</v>
      </c>
      <c r="H74" s="5" t="s">
        <v>14</v>
      </c>
      <c r="I74" s="8" cm="1">
        <f t="array" ref="I74">_xlfn.XLOOKUP(C74,$S$9:$S$11,_xlfn.XLOOKUP(F74,$T$8:$V$8,$T$9:$V$11))</f>
        <v>139.9</v>
      </c>
      <c r="J74" s="7" t="str">
        <f t="shared" si="1"/>
        <v>Somente Ubisoft</v>
      </c>
    </row>
    <row r="75" spans="1:10">
      <c r="A75" s="5" t="s">
        <v>368</v>
      </c>
      <c r="B75" s="6" t="s">
        <v>95</v>
      </c>
      <c r="C75" s="5" t="s">
        <v>8</v>
      </c>
      <c r="D75" s="7" t="s">
        <v>658</v>
      </c>
      <c r="E75" s="5" t="s">
        <v>9</v>
      </c>
      <c r="F75" s="5" t="s">
        <v>15</v>
      </c>
      <c r="G75" s="5" t="s">
        <v>9</v>
      </c>
      <c r="H75" s="5" t="s">
        <v>9</v>
      </c>
      <c r="I75" s="8" cm="1">
        <f t="array" ref="I75">_xlfn.XLOOKUP(C75,$S$9:$S$11,_xlfn.XLOOKUP(F75,$T$8:$V$8,$T$9:$V$11))</f>
        <v>59.9</v>
      </c>
      <c r="J75" s="7" t="str">
        <f t="shared" si="1"/>
        <v>Fortnite + Ubisoft</v>
      </c>
    </row>
    <row r="76" spans="1:10">
      <c r="A76" s="5" t="s">
        <v>369</v>
      </c>
      <c r="B76" s="6" t="s">
        <v>96</v>
      </c>
      <c r="C76" s="5" t="s">
        <v>13</v>
      </c>
      <c r="D76" s="7" t="s">
        <v>649</v>
      </c>
      <c r="E76" s="5" t="s">
        <v>14</v>
      </c>
      <c r="F76" s="5" t="s">
        <v>10</v>
      </c>
      <c r="G76" s="5" t="s">
        <v>14</v>
      </c>
      <c r="H76" s="5" t="s">
        <v>9</v>
      </c>
      <c r="I76" s="8" cm="1">
        <f t="array" ref="I76">_xlfn.XLOOKUP(C76,$S$9:$S$11,_xlfn.XLOOKUP(F76,$T$8:$V$8,$T$9:$V$11))</f>
        <v>278.89999999999998</v>
      </c>
      <c r="J76" s="7" t="str">
        <f t="shared" si="1"/>
        <v>Somente Fortnite</v>
      </c>
    </row>
    <row r="77" spans="1:10">
      <c r="A77" s="5" t="s">
        <v>370</v>
      </c>
      <c r="B77" s="6" t="s">
        <v>97</v>
      </c>
      <c r="C77" s="5" t="s">
        <v>8</v>
      </c>
      <c r="D77" s="7" t="s">
        <v>659</v>
      </c>
      <c r="E77" s="5" t="s">
        <v>9</v>
      </c>
      <c r="F77" s="5" t="s">
        <v>10</v>
      </c>
      <c r="G77" s="5" t="s">
        <v>9</v>
      </c>
      <c r="H77" s="5" t="s">
        <v>9</v>
      </c>
      <c r="I77" s="8" cm="1">
        <f t="array" ref="I77">_xlfn.XLOOKUP(C77,$S$9:$S$11,_xlfn.XLOOKUP(F77,$T$8:$V$8,$T$9:$V$11))</f>
        <v>538.9</v>
      </c>
      <c r="J77" s="7" t="str">
        <f t="shared" si="1"/>
        <v>Fortnite + Ubisoft</v>
      </c>
    </row>
    <row r="78" spans="1:10">
      <c r="A78" s="5" t="s">
        <v>371</v>
      </c>
      <c r="B78" s="6" t="s">
        <v>98</v>
      </c>
      <c r="C78" s="5" t="s">
        <v>13</v>
      </c>
      <c r="D78" s="7" t="s">
        <v>660</v>
      </c>
      <c r="E78" s="5" t="s">
        <v>14</v>
      </c>
      <c r="F78" s="5" t="s">
        <v>15</v>
      </c>
      <c r="G78" s="5" t="s">
        <v>14</v>
      </c>
      <c r="H78" s="5" t="s">
        <v>14</v>
      </c>
      <c r="I78" s="8" cm="1">
        <f t="array" ref="I78">_xlfn.XLOOKUP(C78,$S$9:$S$11,_xlfn.XLOOKUP(F78,$T$8:$V$8,$T$9:$V$11))</f>
        <v>34.9</v>
      </c>
      <c r="J78" s="7" t="str">
        <f t="shared" si="1"/>
        <v>Nenhum Add-on</v>
      </c>
    </row>
    <row r="79" spans="1:10">
      <c r="A79" s="5" t="s">
        <v>372</v>
      </c>
      <c r="B79" s="6" t="s">
        <v>99</v>
      </c>
      <c r="C79" s="5" t="s">
        <v>18</v>
      </c>
      <c r="D79" s="7" t="s">
        <v>661</v>
      </c>
      <c r="E79" s="5" t="s">
        <v>9</v>
      </c>
      <c r="F79" s="5" t="s">
        <v>19</v>
      </c>
      <c r="G79" s="5" t="s">
        <v>9</v>
      </c>
      <c r="H79" s="5" t="s">
        <v>14</v>
      </c>
      <c r="I79" s="8" cm="1">
        <f t="array" ref="I79">_xlfn.XLOOKUP(C79,$S$9:$S$11,_xlfn.XLOOKUP(F79,$T$8:$V$8,$T$9:$V$11))</f>
        <v>139.9</v>
      </c>
      <c r="J79" s="7" t="str">
        <f t="shared" si="1"/>
        <v>Somente Ubisoft</v>
      </c>
    </row>
    <row r="80" spans="1:10">
      <c r="A80" s="5" t="s">
        <v>373</v>
      </c>
      <c r="B80" s="6" t="s">
        <v>100</v>
      </c>
      <c r="C80" s="5" t="s">
        <v>8</v>
      </c>
      <c r="D80" s="7" t="s">
        <v>662</v>
      </c>
      <c r="E80" s="5" t="s">
        <v>9</v>
      </c>
      <c r="F80" s="5" t="s">
        <v>15</v>
      </c>
      <c r="G80" s="5" t="s">
        <v>9</v>
      </c>
      <c r="H80" s="5" t="s">
        <v>9</v>
      </c>
      <c r="I80" s="8" cm="1">
        <f t="array" ref="I80">_xlfn.XLOOKUP(C80,$S$9:$S$11,_xlfn.XLOOKUP(F80,$T$8:$V$8,$T$9:$V$11))</f>
        <v>59.9</v>
      </c>
      <c r="J80" s="7" t="str">
        <f t="shared" si="1"/>
        <v>Fortnite + Ubisoft</v>
      </c>
    </row>
    <row r="81" spans="1:10">
      <c r="A81" s="5" t="s">
        <v>374</v>
      </c>
      <c r="B81" s="6" t="s">
        <v>101</v>
      </c>
      <c r="C81" s="5" t="s">
        <v>13</v>
      </c>
      <c r="D81" s="7" t="s">
        <v>663</v>
      </c>
      <c r="E81" s="5" t="s">
        <v>14</v>
      </c>
      <c r="F81" s="5" t="s">
        <v>10</v>
      </c>
      <c r="G81" s="5" t="s">
        <v>14</v>
      </c>
      <c r="H81" s="5" t="s">
        <v>9</v>
      </c>
      <c r="I81" s="8" cm="1">
        <f t="array" ref="I81">_xlfn.XLOOKUP(C81,$S$9:$S$11,_xlfn.XLOOKUP(F81,$T$8:$V$8,$T$9:$V$11))</f>
        <v>278.89999999999998</v>
      </c>
      <c r="J81" s="7" t="str">
        <f t="shared" si="1"/>
        <v>Somente Fortnite</v>
      </c>
    </row>
    <row r="82" spans="1:10">
      <c r="A82" s="5" t="s">
        <v>375</v>
      </c>
      <c r="B82" s="6" t="s">
        <v>102</v>
      </c>
      <c r="C82" s="5" t="s">
        <v>8</v>
      </c>
      <c r="D82" s="7" t="s">
        <v>664</v>
      </c>
      <c r="E82" s="5" t="s">
        <v>9</v>
      </c>
      <c r="F82" s="5" t="s">
        <v>10</v>
      </c>
      <c r="G82" s="5" t="s">
        <v>9</v>
      </c>
      <c r="H82" s="5" t="s">
        <v>9</v>
      </c>
      <c r="I82" s="8" cm="1">
        <f t="array" ref="I82">_xlfn.XLOOKUP(C82,$S$9:$S$11,_xlfn.XLOOKUP(F82,$T$8:$V$8,$T$9:$V$11))</f>
        <v>538.9</v>
      </c>
      <c r="J82" s="7" t="str">
        <f t="shared" si="1"/>
        <v>Fortnite + Ubisoft</v>
      </c>
    </row>
    <row r="83" spans="1:10">
      <c r="A83" s="5" t="s">
        <v>376</v>
      </c>
      <c r="B83" s="6" t="s">
        <v>103</v>
      </c>
      <c r="C83" s="5" t="s">
        <v>13</v>
      </c>
      <c r="D83" s="7" t="s">
        <v>665</v>
      </c>
      <c r="E83" s="5" t="s">
        <v>14</v>
      </c>
      <c r="F83" s="5" t="s">
        <v>15</v>
      </c>
      <c r="G83" s="5" t="s">
        <v>14</v>
      </c>
      <c r="H83" s="5" t="s">
        <v>14</v>
      </c>
      <c r="I83" s="8" cm="1">
        <f t="array" ref="I83">_xlfn.XLOOKUP(C83,$S$9:$S$11,_xlfn.XLOOKUP(F83,$T$8:$V$8,$T$9:$V$11))</f>
        <v>34.9</v>
      </c>
      <c r="J83" s="7" t="str">
        <f t="shared" si="1"/>
        <v>Nenhum Add-on</v>
      </c>
    </row>
    <row r="84" spans="1:10">
      <c r="A84" s="5" t="s">
        <v>377</v>
      </c>
      <c r="B84" s="6" t="s">
        <v>104</v>
      </c>
      <c r="C84" s="5" t="s">
        <v>18</v>
      </c>
      <c r="D84" s="7" t="s">
        <v>666</v>
      </c>
      <c r="E84" s="5" t="s">
        <v>9</v>
      </c>
      <c r="F84" s="5" t="s">
        <v>19</v>
      </c>
      <c r="G84" s="5" t="s">
        <v>9</v>
      </c>
      <c r="H84" s="5" t="s">
        <v>14</v>
      </c>
      <c r="I84" s="8" cm="1">
        <f t="array" ref="I84">_xlfn.XLOOKUP(C84,$S$9:$S$11,_xlfn.XLOOKUP(F84,$T$8:$V$8,$T$9:$V$11))</f>
        <v>139.9</v>
      </c>
      <c r="J84" s="7" t="str">
        <f t="shared" si="1"/>
        <v>Somente Ubisoft</v>
      </c>
    </row>
    <row r="85" spans="1:10">
      <c r="A85" s="5" t="s">
        <v>378</v>
      </c>
      <c r="B85" s="6" t="s">
        <v>105</v>
      </c>
      <c r="C85" s="5" t="s">
        <v>8</v>
      </c>
      <c r="D85" s="7" t="s">
        <v>667</v>
      </c>
      <c r="E85" s="5" t="s">
        <v>14</v>
      </c>
      <c r="F85" s="5" t="s">
        <v>15</v>
      </c>
      <c r="G85" s="5" t="s">
        <v>9</v>
      </c>
      <c r="H85" s="5" t="s">
        <v>9</v>
      </c>
      <c r="I85" s="8" cm="1">
        <f t="array" ref="I85">_xlfn.XLOOKUP(C85,$S$9:$S$11,_xlfn.XLOOKUP(F85,$T$8:$V$8,$T$9:$V$11))</f>
        <v>59.9</v>
      </c>
      <c r="J85" s="7" t="str">
        <f t="shared" si="1"/>
        <v>Fortnite + Ubisoft</v>
      </c>
    </row>
    <row r="86" spans="1:10">
      <c r="A86" s="5" t="s">
        <v>379</v>
      </c>
      <c r="B86" s="6" t="s">
        <v>106</v>
      </c>
      <c r="C86" s="5" t="s">
        <v>13</v>
      </c>
      <c r="D86" s="7" t="s">
        <v>668</v>
      </c>
      <c r="E86" s="5" t="s">
        <v>14</v>
      </c>
      <c r="F86" s="5" t="s">
        <v>10</v>
      </c>
      <c r="G86" s="5" t="s">
        <v>14</v>
      </c>
      <c r="H86" s="5" t="s">
        <v>9</v>
      </c>
      <c r="I86" s="8" cm="1">
        <f t="array" ref="I86">_xlfn.XLOOKUP(C86,$S$9:$S$11,_xlfn.XLOOKUP(F86,$T$8:$V$8,$T$9:$V$11))</f>
        <v>278.89999999999998</v>
      </c>
      <c r="J86" s="7" t="str">
        <f t="shared" si="1"/>
        <v>Somente Fortnite</v>
      </c>
    </row>
    <row r="87" spans="1:10">
      <c r="A87" s="5" t="s">
        <v>380</v>
      </c>
      <c r="B87" s="6" t="s">
        <v>107</v>
      </c>
      <c r="C87" s="5" t="s">
        <v>8</v>
      </c>
      <c r="D87" s="7" t="s">
        <v>669</v>
      </c>
      <c r="E87" s="5" t="s">
        <v>9</v>
      </c>
      <c r="F87" s="5" t="s">
        <v>10</v>
      </c>
      <c r="G87" s="5" t="s">
        <v>9</v>
      </c>
      <c r="H87" s="5" t="s">
        <v>9</v>
      </c>
      <c r="I87" s="8" cm="1">
        <f t="array" ref="I87">_xlfn.XLOOKUP(C87,$S$9:$S$11,_xlfn.XLOOKUP(F87,$T$8:$V$8,$T$9:$V$11))</f>
        <v>538.9</v>
      </c>
      <c r="J87" s="7" t="str">
        <f t="shared" si="1"/>
        <v>Fortnite + Ubisoft</v>
      </c>
    </row>
    <row r="88" spans="1:10">
      <c r="A88" s="5" t="s">
        <v>381</v>
      </c>
      <c r="B88" s="6" t="s">
        <v>108</v>
      </c>
      <c r="C88" s="5" t="s">
        <v>13</v>
      </c>
      <c r="D88" s="7" t="s">
        <v>666</v>
      </c>
      <c r="E88" s="5" t="s">
        <v>9</v>
      </c>
      <c r="F88" s="5" t="s">
        <v>15</v>
      </c>
      <c r="G88" s="5" t="s">
        <v>14</v>
      </c>
      <c r="H88" s="5" t="s">
        <v>14</v>
      </c>
      <c r="I88" s="8" cm="1">
        <f t="array" ref="I88">_xlfn.XLOOKUP(C88,$S$9:$S$11,_xlfn.XLOOKUP(F88,$T$8:$V$8,$T$9:$V$11))</f>
        <v>34.9</v>
      </c>
      <c r="J88" s="7" t="str">
        <f t="shared" si="1"/>
        <v>Nenhum Add-on</v>
      </c>
    </row>
    <row r="89" spans="1:10">
      <c r="A89" s="5" t="s">
        <v>382</v>
      </c>
      <c r="B89" s="6" t="s">
        <v>109</v>
      </c>
      <c r="C89" s="5" t="s">
        <v>18</v>
      </c>
      <c r="D89" s="7" t="s">
        <v>670</v>
      </c>
      <c r="E89" s="5" t="s">
        <v>9</v>
      </c>
      <c r="F89" s="5" t="s">
        <v>19</v>
      </c>
      <c r="G89" s="5" t="s">
        <v>9</v>
      </c>
      <c r="H89" s="5" t="s">
        <v>14</v>
      </c>
      <c r="I89" s="8" cm="1">
        <f t="array" ref="I89">_xlfn.XLOOKUP(C89,$S$9:$S$11,_xlfn.XLOOKUP(F89,$T$8:$V$8,$T$9:$V$11))</f>
        <v>139.9</v>
      </c>
      <c r="J89" s="7" t="str">
        <f t="shared" si="1"/>
        <v>Somente Ubisoft</v>
      </c>
    </row>
    <row r="90" spans="1:10">
      <c r="A90" s="5" t="s">
        <v>383</v>
      </c>
      <c r="B90" s="6" t="s">
        <v>110</v>
      </c>
      <c r="C90" s="5" t="s">
        <v>8</v>
      </c>
      <c r="D90" s="7" t="s">
        <v>590</v>
      </c>
      <c r="E90" s="5" t="s">
        <v>9</v>
      </c>
      <c r="F90" s="5" t="s">
        <v>15</v>
      </c>
      <c r="G90" s="5" t="s">
        <v>9</v>
      </c>
      <c r="H90" s="5" t="s">
        <v>9</v>
      </c>
      <c r="I90" s="8" cm="1">
        <f t="array" ref="I90">_xlfn.XLOOKUP(C90,$S$9:$S$11,_xlfn.XLOOKUP(F90,$T$8:$V$8,$T$9:$V$11))</f>
        <v>59.9</v>
      </c>
      <c r="J90" s="7" t="str">
        <f t="shared" si="1"/>
        <v>Fortnite + Ubisoft</v>
      </c>
    </row>
    <row r="91" spans="1:10">
      <c r="A91" s="5" t="s">
        <v>384</v>
      </c>
      <c r="B91" s="6" t="s">
        <v>111</v>
      </c>
      <c r="C91" s="5" t="s">
        <v>13</v>
      </c>
      <c r="D91" s="7" t="s">
        <v>671</v>
      </c>
      <c r="E91" s="5" t="s">
        <v>14</v>
      </c>
      <c r="F91" s="5" t="s">
        <v>10</v>
      </c>
      <c r="G91" s="5" t="s">
        <v>14</v>
      </c>
      <c r="H91" s="5" t="s">
        <v>9</v>
      </c>
      <c r="I91" s="8" cm="1">
        <f t="array" ref="I91">_xlfn.XLOOKUP(C91,$S$9:$S$11,_xlfn.XLOOKUP(F91,$T$8:$V$8,$T$9:$V$11))</f>
        <v>278.89999999999998</v>
      </c>
      <c r="J91" s="7" t="str">
        <f t="shared" si="1"/>
        <v>Somente Fortnite</v>
      </c>
    </row>
    <row r="92" spans="1:10">
      <c r="A92" s="5" t="s">
        <v>385</v>
      </c>
      <c r="B92" s="6" t="s">
        <v>112</v>
      </c>
      <c r="C92" s="5" t="s">
        <v>8</v>
      </c>
      <c r="D92" s="7" t="s">
        <v>672</v>
      </c>
      <c r="E92" s="5" t="s">
        <v>14</v>
      </c>
      <c r="F92" s="5" t="s">
        <v>10</v>
      </c>
      <c r="G92" s="5" t="s">
        <v>9</v>
      </c>
      <c r="H92" s="5" t="s">
        <v>9</v>
      </c>
      <c r="I92" s="8" cm="1">
        <f t="array" ref="I92">_xlfn.XLOOKUP(C92,$S$9:$S$11,_xlfn.XLOOKUP(F92,$T$8:$V$8,$T$9:$V$11))</f>
        <v>538.9</v>
      </c>
      <c r="J92" s="7" t="str">
        <f t="shared" si="1"/>
        <v>Fortnite + Ubisoft</v>
      </c>
    </row>
    <row r="93" spans="1:10">
      <c r="A93" s="5" t="s">
        <v>386</v>
      </c>
      <c r="B93" s="6" t="s">
        <v>113</v>
      </c>
      <c r="C93" s="5" t="s">
        <v>13</v>
      </c>
      <c r="D93" s="7" t="s">
        <v>661</v>
      </c>
      <c r="E93" s="5" t="s">
        <v>9</v>
      </c>
      <c r="F93" s="5" t="s">
        <v>15</v>
      </c>
      <c r="G93" s="5" t="s">
        <v>14</v>
      </c>
      <c r="H93" s="5" t="s">
        <v>14</v>
      </c>
      <c r="I93" s="8" cm="1">
        <f t="array" ref="I93">_xlfn.XLOOKUP(C93,$S$9:$S$11,_xlfn.XLOOKUP(F93,$T$8:$V$8,$T$9:$V$11))</f>
        <v>34.9</v>
      </c>
      <c r="J93" s="7" t="str">
        <f t="shared" si="1"/>
        <v>Nenhum Add-on</v>
      </c>
    </row>
    <row r="94" spans="1:10">
      <c r="A94" s="5" t="s">
        <v>387</v>
      </c>
      <c r="B94" s="6" t="s">
        <v>114</v>
      </c>
      <c r="C94" s="5" t="s">
        <v>18</v>
      </c>
      <c r="D94" s="7" t="s">
        <v>673</v>
      </c>
      <c r="E94" s="5" t="s">
        <v>9</v>
      </c>
      <c r="F94" s="5" t="s">
        <v>19</v>
      </c>
      <c r="G94" s="5" t="s">
        <v>9</v>
      </c>
      <c r="H94" s="5" t="s">
        <v>14</v>
      </c>
      <c r="I94" s="8" cm="1">
        <f t="array" ref="I94">_xlfn.XLOOKUP(C94,$S$9:$S$11,_xlfn.XLOOKUP(F94,$T$8:$V$8,$T$9:$V$11))</f>
        <v>139.9</v>
      </c>
      <c r="J94" s="7" t="str">
        <f t="shared" si="1"/>
        <v>Somente Ubisoft</v>
      </c>
    </row>
    <row r="95" spans="1:10">
      <c r="A95" s="5" t="s">
        <v>388</v>
      </c>
      <c r="B95" s="6" t="s">
        <v>115</v>
      </c>
      <c r="C95" s="5" t="s">
        <v>8</v>
      </c>
      <c r="D95" s="7" t="s">
        <v>674</v>
      </c>
      <c r="E95" s="5" t="s">
        <v>9</v>
      </c>
      <c r="F95" s="5" t="s">
        <v>15</v>
      </c>
      <c r="G95" s="5" t="s">
        <v>9</v>
      </c>
      <c r="H95" s="5" t="s">
        <v>9</v>
      </c>
      <c r="I95" s="8" cm="1">
        <f t="array" ref="I95">_xlfn.XLOOKUP(C95,$S$9:$S$11,_xlfn.XLOOKUP(F95,$T$8:$V$8,$T$9:$V$11))</f>
        <v>59.9</v>
      </c>
      <c r="J95" s="7" t="str">
        <f t="shared" si="1"/>
        <v>Fortnite + Ubisoft</v>
      </c>
    </row>
    <row r="96" spans="1:10">
      <c r="A96" s="5" t="s">
        <v>389</v>
      </c>
      <c r="B96" s="6" t="s">
        <v>116</v>
      </c>
      <c r="C96" s="5" t="s">
        <v>13</v>
      </c>
      <c r="D96" s="7" t="s">
        <v>675</v>
      </c>
      <c r="E96" s="5" t="s">
        <v>14</v>
      </c>
      <c r="F96" s="5" t="s">
        <v>10</v>
      </c>
      <c r="G96" s="5" t="s">
        <v>14</v>
      </c>
      <c r="H96" s="5" t="s">
        <v>9</v>
      </c>
      <c r="I96" s="8" cm="1">
        <f t="array" ref="I96">_xlfn.XLOOKUP(C96,$S$9:$S$11,_xlfn.XLOOKUP(F96,$T$8:$V$8,$T$9:$V$11))</f>
        <v>278.89999999999998</v>
      </c>
      <c r="J96" s="7" t="str">
        <f t="shared" si="1"/>
        <v>Somente Fortnite</v>
      </c>
    </row>
    <row r="97" spans="1:10">
      <c r="A97" s="5" t="s">
        <v>390</v>
      </c>
      <c r="B97" s="6" t="s">
        <v>117</v>
      </c>
      <c r="C97" s="5" t="s">
        <v>8</v>
      </c>
      <c r="D97" s="7" t="s">
        <v>676</v>
      </c>
      <c r="E97" s="5" t="s">
        <v>9</v>
      </c>
      <c r="F97" s="5" t="s">
        <v>10</v>
      </c>
      <c r="G97" s="5" t="s">
        <v>9</v>
      </c>
      <c r="H97" s="5" t="s">
        <v>9</v>
      </c>
      <c r="I97" s="8" cm="1">
        <f t="array" ref="I97">_xlfn.XLOOKUP(C97,$S$9:$S$11,_xlfn.XLOOKUP(F97,$T$8:$V$8,$T$9:$V$11))</f>
        <v>538.9</v>
      </c>
      <c r="J97" s="7" t="str">
        <f t="shared" si="1"/>
        <v>Fortnite + Ubisoft</v>
      </c>
    </row>
    <row r="98" spans="1:10">
      <c r="A98" s="5" t="s">
        <v>391</v>
      </c>
      <c r="B98" s="6" t="s">
        <v>118</v>
      </c>
      <c r="C98" s="5" t="s">
        <v>13</v>
      </c>
      <c r="D98" s="7" t="s">
        <v>677</v>
      </c>
      <c r="E98" s="5" t="s">
        <v>9</v>
      </c>
      <c r="F98" s="5" t="s">
        <v>15</v>
      </c>
      <c r="G98" s="5" t="s">
        <v>14</v>
      </c>
      <c r="H98" s="5" t="s">
        <v>14</v>
      </c>
      <c r="I98" s="8" cm="1">
        <f t="array" ref="I98">_xlfn.XLOOKUP(C98,$S$9:$S$11,_xlfn.XLOOKUP(F98,$T$8:$V$8,$T$9:$V$11))</f>
        <v>34.9</v>
      </c>
      <c r="J98" s="7" t="str">
        <f t="shared" si="1"/>
        <v>Nenhum Add-on</v>
      </c>
    </row>
    <row r="99" spans="1:10">
      <c r="A99" s="5" t="s">
        <v>392</v>
      </c>
      <c r="B99" s="6" t="s">
        <v>119</v>
      </c>
      <c r="C99" s="5" t="s">
        <v>18</v>
      </c>
      <c r="D99" s="7" t="s">
        <v>658</v>
      </c>
      <c r="E99" s="5" t="s">
        <v>9</v>
      </c>
      <c r="F99" s="5" t="s">
        <v>19</v>
      </c>
      <c r="G99" s="5" t="s">
        <v>9</v>
      </c>
      <c r="H99" s="5" t="s">
        <v>14</v>
      </c>
      <c r="I99" s="8" cm="1">
        <f t="array" ref="I99">_xlfn.XLOOKUP(C99,$S$9:$S$11,_xlfn.XLOOKUP(F99,$T$8:$V$8,$T$9:$V$11))</f>
        <v>139.9</v>
      </c>
      <c r="J99" s="7" t="str">
        <f t="shared" si="1"/>
        <v>Somente Ubisoft</v>
      </c>
    </row>
    <row r="100" spans="1:10">
      <c r="A100" s="5" t="s">
        <v>393</v>
      </c>
      <c r="B100" s="6" t="s">
        <v>120</v>
      </c>
      <c r="C100" s="5" t="s">
        <v>8</v>
      </c>
      <c r="D100" s="7" t="s">
        <v>655</v>
      </c>
      <c r="E100" s="5" t="s">
        <v>9</v>
      </c>
      <c r="F100" s="5" t="s">
        <v>15</v>
      </c>
      <c r="G100" s="5" t="s">
        <v>9</v>
      </c>
      <c r="H100" s="5" t="s">
        <v>9</v>
      </c>
      <c r="I100" s="8" cm="1">
        <f t="array" ref="I100">_xlfn.XLOOKUP(C100,$S$9:$S$11,_xlfn.XLOOKUP(F100,$T$8:$V$8,$T$9:$V$11))</f>
        <v>59.9</v>
      </c>
      <c r="J100" s="7" t="str">
        <f t="shared" si="1"/>
        <v>Fortnite + Ubisoft</v>
      </c>
    </row>
    <row r="101" spans="1:10">
      <c r="A101" s="5" t="s">
        <v>394</v>
      </c>
      <c r="B101" s="6" t="s">
        <v>121</v>
      </c>
      <c r="C101" s="5" t="s">
        <v>13</v>
      </c>
      <c r="D101" s="7" t="s">
        <v>678</v>
      </c>
      <c r="E101" s="5" t="s">
        <v>14</v>
      </c>
      <c r="F101" s="5" t="s">
        <v>10</v>
      </c>
      <c r="G101" s="5" t="s">
        <v>14</v>
      </c>
      <c r="H101" s="5" t="s">
        <v>9</v>
      </c>
      <c r="I101" s="8" cm="1">
        <f t="array" ref="I101">_xlfn.XLOOKUP(C101,$S$9:$S$11,_xlfn.XLOOKUP(F101,$T$8:$V$8,$T$9:$V$11))</f>
        <v>278.89999999999998</v>
      </c>
      <c r="J101" s="7" t="str">
        <f t="shared" si="1"/>
        <v>Somente Fortnite</v>
      </c>
    </row>
    <row r="102" spans="1:10">
      <c r="A102" s="5" t="s">
        <v>395</v>
      </c>
      <c r="B102" s="6" t="s">
        <v>122</v>
      </c>
      <c r="C102" s="5" t="s">
        <v>8</v>
      </c>
      <c r="D102" s="7" t="s">
        <v>666</v>
      </c>
      <c r="E102" s="5" t="s">
        <v>9</v>
      </c>
      <c r="F102" s="5" t="s">
        <v>10</v>
      </c>
      <c r="G102" s="5" t="s">
        <v>9</v>
      </c>
      <c r="H102" s="5" t="s">
        <v>9</v>
      </c>
      <c r="I102" s="8" cm="1">
        <f t="array" ref="I102">_xlfn.XLOOKUP(C102,$S$9:$S$11,_xlfn.XLOOKUP(F102,$T$8:$V$8,$T$9:$V$11))</f>
        <v>538.9</v>
      </c>
      <c r="J102" s="7" t="str">
        <f t="shared" si="1"/>
        <v>Fortnite + Ubisoft</v>
      </c>
    </row>
    <row r="103" spans="1:10">
      <c r="A103" s="5" t="s">
        <v>396</v>
      </c>
      <c r="B103" s="6" t="s">
        <v>123</v>
      </c>
      <c r="C103" s="5" t="s">
        <v>13</v>
      </c>
      <c r="D103" s="7" t="s">
        <v>679</v>
      </c>
      <c r="E103" s="5" t="s">
        <v>14</v>
      </c>
      <c r="F103" s="5" t="s">
        <v>15</v>
      </c>
      <c r="G103" s="5" t="s">
        <v>14</v>
      </c>
      <c r="H103" s="5" t="s">
        <v>14</v>
      </c>
      <c r="I103" s="8" cm="1">
        <f t="array" ref="I103">_xlfn.XLOOKUP(C103,$S$9:$S$11,_xlfn.XLOOKUP(F103,$T$8:$V$8,$T$9:$V$11))</f>
        <v>34.9</v>
      </c>
      <c r="J103" s="7" t="str">
        <f t="shared" si="1"/>
        <v>Nenhum Add-on</v>
      </c>
    </row>
    <row r="104" spans="1:10">
      <c r="A104" s="5" t="s">
        <v>397</v>
      </c>
      <c r="B104" s="6" t="s">
        <v>124</v>
      </c>
      <c r="C104" s="5" t="s">
        <v>18</v>
      </c>
      <c r="D104" s="7" t="s">
        <v>680</v>
      </c>
      <c r="E104" s="5" t="s">
        <v>9</v>
      </c>
      <c r="F104" s="5" t="s">
        <v>19</v>
      </c>
      <c r="G104" s="5" t="s">
        <v>9</v>
      </c>
      <c r="H104" s="5" t="s">
        <v>14</v>
      </c>
      <c r="I104" s="8" cm="1">
        <f t="array" ref="I104">_xlfn.XLOOKUP(C104,$S$9:$S$11,_xlfn.XLOOKUP(F104,$T$8:$V$8,$T$9:$V$11))</f>
        <v>139.9</v>
      </c>
      <c r="J104" s="7" t="str">
        <f t="shared" si="1"/>
        <v>Somente Ubisoft</v>
      </c>
    </row>
    <row r="105" spans="1:10">
      <c r="A105" s="5" t="s">
        <v>398</v>
      </c>
      <c r="B105" s="6" t="s">
        <v>125</v>
      </c>
      <c r="C105" s="5" t="s">
        <v>8</v>
      </c>
      <c r="D105" s="7" t="s">
        <v>681</v>
      </c>
      <c r="E105" s="5" t="s">
        <v>9</v>
      </c>
      <c r="F105" s="5" t="s">
        <v>15</v>
      </c>
      <c r="G105" s="5" t="s">
        <v>9</v>
      </c>
      <c r="H105" s="5" t="s">
        <v>9</v>
      </c>
      <c r="I105" s="8" cm="1">
        <f t="array" ref="I105">_xlfn.XLOOKUP(C105,$S$9:$S$11,_xlfn.XLOOKUP(F105,$T$8:$V$8,$T$9:$V$11))</f>
        <v>59.9</v>
      </c>
      <c r="J105" s="7" t="str">
        <f t="shared" si="1"/>
        <v>Fortnite + Ubisoft</v>
      </c>
    </row>
    <row r="106" spans="1:10">
      <c r="A106" s="5" t="s">
        <v>399</v>
      </c>
      <c r="B106" s="6" t="s">
        <v>126</v>
      </c>
      <c r="C106" s="5" t="s">
        <v>13</v>
      </c>
      <c r="D106" s="7" t="s">
        <v>682</v>
      </c>
      <c r="E106" s="5" t="s">
        <v>14</v>
      </c>
      <c r="F106" s="5" t="s">
        <v>10</v>
      </c>
      <c r="G106" s="5" t="s">
        <v>14</v>
      </c>
      <c r="H106" s="5" t="s">
        <v>9</v>
      </c>
      <c r="I106" s="8" cm="1">
        <f t="array" ref="I106">_xlfn.XLOOKUP(C106,$S$9:$S$11,_xlfn.XLOOKUP(F106,$T$8:$V$8,$T$9:$V$11))</f>
        <v>278.89999999999998</v>
      </c>
      <c r="J106" s="7" t="str">
        <f t="shared" si="1"/>
        <v>Somente Fortnite</v>
      </c>
    </row>
    <row r="107" spans="1:10">
      <c r="A107" s="5" t="s">
        <v>400</v>
      </c>
      <c r="B107" s="6" t="s">
        <v>127</v>
      </c>
      <c r="C107" s="5" t="s">
        <v>8</v>
      </c>
      <c r="D107" s="7" t="s">
        <v>683</v>
      </c>
      <c r="E107" s="5" t="s">
        <v>14</v>
      </c>
      <c r="F107" s="5" t="s">
        <v>10</v>
      </c>
      <c r="G107" s="5" t="s">
        <v>9</v>
      </c>
      <c r="H107" s="5" t="s">
        <v>9</v>
      </c>
      <c r="I107" s="8" cm="1">
        <f t="array" ref="I107">_xlfn.XLOOKUP(C107,$S$9:$S$11,_xlfn.XLOOKUP(F107,$T$8:$V$8,$T$9:$V$11))</f>
        <v>538.9</v>
      </c>
      <c r="J107" s="7" t="str">
        <f t="shared" si="1"/>
        <v>Fortnite + Ubisoft</v>
      </c>
    </row>
    <row r="108" spans="1:10">
      <c r="A108" s="5" t="s">
        <v>401</v>
      </c>
      <c r="B108" s="6" t="s">
        <v>128</v>
      </c>
      <c r="C108" s="5" t="s">
        <v>13</v>
      </c>
      <c r="D108" s="7" t="s">
        <v>684</v>
      </c>
      <c r="E108" s="5" t="s">
        <v>14</v>
      </c>
      <c r="F108" s="5" t="s">
        <v>15</v>
      </c>
      <c r="G108" s="5" t="s">
        <v>14</v>
      </c>
      <c r="H108" s="5" t="s">
        <v>14</v>
      </c>
      <c r="I108" s="8" cm="1">
        <f t="array" ref="I108">_xlfn.XLOOKUP(C108,$S$9:$S$11,_xlfn.XLOOKUP(F108,$T$8:$V$8,$T$9:$V$11))</f>
        <v>34.9</v>
      </c>
      <c r="J108" s="7" t="str">
        <f t="shared" si="1"/>
        <v>Nenhum Add-on</v>
      </c>
    </row>
    <row r="109" spans="1:10">
      <c r="A109" s="5" t="s">
        <v>402</v>
      </c>
      <c r="B109" s="6" t="s">
        <v>129</v>
      </c>
      <c r="C109" s="5" t="s">
        <v>18</v>
      </c>
      <c r="D109" s="7" t="s">
        <v>685</v>
      </c>
      <c r="E109" s="5" t="s">
        <v>9</v>
      </c>
      <c r="F109" s="5" t="s">
        <v>19</v>
      </c>
      <c r="G109" s="5" t="s">
        <v>9</v>
      </c>
      <c r="H109" s="5" t="s">
        <v>14</v>
      </c>
      <c r="I109" s="8" cm="1">
        <f t="array" ref="I109">_xlfn.XLOOKUP(C109,$S$9:$S$11,_xlfn.XLOOKUP(F109,$T$8:$V$8,$T$9:$V$11))</f>
        <v>139.9</v>
      </c>
      <c r="J109" s="7" t="str">
        <f t="shared" si="1"/>
        <v>Somente Ubisoft</v>
      </c>
    </row>
    <row r="110" spans="1:10">
      <c r="A110" s="5" t="s">
        <v>403</v>
      </c>
      <c r="B110" s="6" t="s">
        <v>130</v>
      </c>
      <c r="C110" s="5" t="s">
        <v>8</v>
      </c>
      <c r="D110" s="7" t="s">
        <v>600</v>
      </c>
      <c r="E110" s="5" t="s">
        <v>9</v>
      </c>
      <c r="F110" s="5" t="s">
        <v>15</v>
      </c>
      <c r="G110" s="5" t="s">
        <v>9</v>
      </c>
      <c r="H110" s="5" t="s">
        <v>9</v>
      </c>
      <c r="I110" s="8" cm="1">
        <f t="array" ref="I110">_xlfn.XLOOKUP(C110,$S$9:$S$11,_xlfn.XLOOKUP(F110,$T$8:$V$8,$T$9:$V$11))</f>
        <v>59.9</v>
      </c>
      <c r="J110" s="7" t="str">
        <f t="shared" si="1"/>
        <v>Fortnite + Ubisoft</v>
      </c>
    </row>
    <row r="111" spans="1:10">
      <c r="A111" s="5" t="s">
        <v>404</v>
      </c>
      <c r="B111" s="6" t="s">
        <v>131</v>
      </c>
      <c r="C111" s="5" t="s">
        <v>13</v>
      </c>
      <c r="D111" s="7" t="s">
        <v>686</v>
      </c>
      <c r="E111" s="5" t="s">
        <v>14</v>
      </c>
      <c r="F111" s="5" t="s">
        <v>10</v>
      </c>
      <c r="G111" s="5" t="s">
        <v>14</v>
      </c>
      <c r="H111" s="5" t="s">
        <v>9</v>
      </c>
      <c r="I111" s="8" cm="1">
        <f t="array" ref="I111">_xlfn.XLOOKUP(C111,$S$9:$S$11,_xlfn.XLOOKUP(F111,$T$8:$V$8,$T$9:$V$11))</f>
        <v>278.89999999999998</v>
      </c>
      <c r="J111" s="7" t="str">
        <f t="shared" si="1"/>
        <v>Somente Fortnite</v>
      </c>
    </row>
    <row r="112" spans="1:10">
      <c r="A112" s="5" t="s">
        <v>405</v>
      </c>
      <c r="B112" s="6" t="s">
        <v>132</v>
      </c>
      <c r="C112" s="5" t="s">
        <v>8</v>
      </c>
      <c r="D112" s="7" t="s">
        <v>605</v>
      </c>
      <c r="E112" s="5" t="s">
        <v>9</v>
      </c>
      <c r="F112" s="5" t="s">
        <v>10</v>
      </c>
      <c r="G112" s="5" t="s">
        <v>9</v>
      </c>
      <c r="H112" s="5" t="s">
        <v>9</v>
      </c>
      <c r="I112" s="8" cm="1">
        <f t="array" ref="I112">_xlfn.XLOOKUP(C112,$S$9:$S$11,_xlfn.XLOOKUP(F112,$T$8:$V$8,$T$9:$V$11))</f>
        <v>538.9</v>
      </c>
      <c r="J112" s="7" t="str">
        <f t="shared" si="1"/>
        <v>Fortnite + Ubisoft</v>
      </c>
    </row>
    <row r="113" spans="1:10">
      <c r="A113" s="5" t="s">
        <v>406</v>
      </c>
      <c r="B113" s="6" t="s">
        <v>133</v>
      </c>
      <c r="C113" s="5" t="s">
        <v>13</v>
      </c>
      <c r="D113" s="7" t="s">
        <v>621</v>
      </c>
      <c r="E113" s="5" t="s">
        <v>9</v>
      </c>
      <c r="F113" s="5" t="s">
        <v>15</v>
      </c>
      <c r="G113" s="5" t="s">
        <v>14</v>
      </c>
      <c r="H113" s="5" t="s">
        <v>14</v>
      </c>
      <c r="I113" s="8" cm="1">
        <f t="array" ref="I113">_xlfn.XLOOKUP(C113,$S$9:$S$11,_xlfn.XLOOKUP(F113,$T$8:$V$8,$T$9:$V$11))</f>
        <v>34.9</v>
      </c>
      <c r="J113" s="7" t="str">
        <f t="shared" si="1"/>
        <v>Nenhum Add-on</v>
      </c>
    </row>
    <row r="114" spans="1:10">
      <c r="A114" s="5" t="s">
        <v>407</v>
      </c>
      <c r="B114" s="6" t="s">
        <v>134</v>
      </c>
      <c r="C114" s="5" t="s">
        <v>18</v>
      </c>
      <c r="D114" s="7" t="s">
        <v>687</v>
      </c>
      <c r="E114" s="5" t="s">
        <v>9</v>
      </c>
      <c r="F114" s="5" t="s">
        <v>19</v>
      </c>
      <c r="G114" s="5" t="s">
        <v>9</v>
      </c>
      <c r="H114" s="5" t="s">
        <v>14</v>
      </c>
      <c r="I114" s="8" cm="1">
        <f t="array" ref="I114">_xlfn.XLOOKUP(C114,$S$9:$S$11,_xlfn.XLOOKUP(F114,$T$8:$V$8,$T$9:$V$11))</f>
        <v>139.9</v>
      </c>
      <c r="J114" s="7" t="str">
        <f t="shared" si="1"/>
        <v>Somente Ubisoft</v>
      </c>
    </row>
    <row r="115" spans="1:10">
      <c r="A115" s="5" t="s">
        <v>408</v>
      </c>
      <c r="B115" s="6" t="s">
        <v>135</v>
      </c>
      <c r="C115" s="5" t="s">
        <v>8</v>
      </c>
      <c r="D115" s="7" t="s">
        <v>688</v>
      </c>
      <c r="E115" s="5" t="s">
        <v>9</v>
      </c>
      <c r="F115" s="5" t="s">
        <v>15</v>
      </c>
      <c r="G115" s="5" t="s">
        <v>9</v>
      </c>
      <c r="H115" s="5" t="s">
        <v>9</v>
      </c>
      <c r="I115" s="8" cm="1">
        <f t="array" ref="I115">_xlfn.XLOOKUP(C115,$S$9:$S$11,_xlfn.XLOOKUP(F115,$T$8:$V$8,$T$9:$V$11))</f>
        <v>59.9</v>
      </c>
      <c r="J115" s="7" t="str">
        <f t="shared" si="1"/>
        <v>Fortnite + Ubisoft</v>
      </c>
    </row>
    <row r="116" spans="1:10">
      <c r="A116" s="5" t="s">
        <v>409</v>
      </c>
      <c r="B116" s="6" t="s">
        <v>136</v>
      </c>
      <c r="C116" s="5" t="s">
        <v>13</v>
      </c>
      <c r="D116" s="7" t="s">
        <v>598</v>
      </c>
      <c r="E116" s="5" t="s">
        <v>14</v>
      </c>
      <c r="F116" s="5" t="s">
        <v>10</v>
      </c>
      <c r="G116" s="5" t="s">
        <v>14</v>
      </c>
      <c r="H116" s="5" t="s">
        <v>9</v>
      </c>
      <c r="I116" s="8" cm="1">
        <f t="array" ref="I116">_xlfn.XLOOKUP(C116,$S$9:$S$11,_xlfn.XLOOKUP(F116,$T$8:$V$8,$T$9:$V$11))</f>
        <v>278.89999999999998</v>
      </c>
      <c r="J116" s="7" t="str">
        <f t="shared" si="1"/>
        <v>Somente Fortnite</v>
      </c>
    </row>
    <row r="117" spans="1:10">
      <c r="A117" s="5" t="s">
        <v>410</v>
      </c>
      <c r="B117" s="6" t="s">
        <v>137</v>
      </c>
      <c r="C117" s="5" t="s">
        <v>8</v>
      </c>
      <c r="D117" s="7" t="s">
        <v>689</v>
      </c>
      <c r="E117" s="5" t="s">
        <v>9</v>
      </c>
      <c r="F117" s="5" t="s">
        <v>10</v>
      </c>
      <c r="G117" s="5" t="s">
        <v>9</v>
      </c>
      <c r="H117" s="5" t="s">
        <v>9</v>
      </c>
      <c r="I117" s="8" cm="1">
        <f t="array" ref="I117">_xlfn.XLOOKUP(C117,$S$9:$S$11,_xlfn.XLOOKUP(F117,$T$8:$V$8,$T$9:$V$11))</f>
        <v>538.9</v>
      </c>
      <c r="J117" s="7" t="str">
        <f t="shared" si="1"/>
        <v>Fortnite + Ubisoft</v>
      </c>
    </row>
    <row r="118" spans="1:10">
      <c r="A118" s="5" t="s">
        <v>411</v>
      </c>
      <c r="B118" s="6" t="s">
        <v>138</v>
      </c>
      <c r="C118" s="5" t="s">
        <v>13</v>
      </c>
      <c r="D118" s="7" t="s">
        <v>690</v>
      </c>
      <c r="E118" s="5" t="s">
        <v>14</v>
      </c>
      <c r="F118" s="5" t="s">
        <v>15</v>
      </c>
      <c r="G118" s="5" t="s">
        <v>14</v>
      </c>
      <c r="H118" s="5" t="s">
        <v>14</v>
      </c>
      <c r="I118" s="8" cm="1">
        <f t="array" ref="I118">_xlfn.XLOOKUP(C118,$S$9:$S$11,_xlfn.XLOOKUP(F118,$T$8:$V$8,$T$9:$V$11))</f>
        <v>34.9</v>
      </c>
      <c r="J118" s="7" t="str">
        <f t="shared" si="1"/>
        <v>Nenhum Add-on</v>
      </c>
    </row>
    <row r="119" spans="1:10">
      <c r="A119" s="5" t="s">
        <v>412</v>
      </c>
      <c r="B119" s="6" t="s">
        <v>139</v>
      </c>
      <c r="C119" s="5" t="s">
        <v>18</v>
      </c>
      <c r="D119" s="7" t="s">
        <v>691</v>
      </c>
      <c r="E119" s="5" t="s">
        <v>9</v>
      </c>
      <c r="F119" s="5" t="s">
        <v>19</v>
      </c>
      <c r="G119" s="5" t="s">
        <v>9</v>
      </c>
      <c r="H119" s="5" t="s">
        <v>14</v>
      </c>
      <c r="I119" s="8" cm="1">
        <f t="array" ref="I119">_xlfn.XLOOKUP(C119,$S$9:$S$11,_xlfn.XLOOKUP(F119,$T$8:$V$8,$T$9:$V$11))</f>
        <v>139.9</v>
      </c>
      <c r="J119" s="7" t="str">
        <f t="shared" si="1"/>
        <v>Somente Ubisoft</v>
      </c>
    </row>
    <row r="120" spans="1:10">
      <c r="A120" s="5" t="s">
        <v>413</v>
      </c>
      <c r="B120" s="6" t="s">
        <v>115</v>
      </c>
      <c r="C120" s="5" t="s">
        <v>8</v>
      </c>
      <c r="D120" s="7" t="s">
        <v>692</v>
      </c>
      <c r="E120" s="5" t="s">
        <v>9</v>
      </c>
      <c r="F120" s="5" t="s">
        <v>15</v>
      </c>
      <c r="G120" s="5" t="s">
        <v>9</v>
      </c>
      <c r="H120" s="5" t="s">
        <v>9</v>
      </c>
      <c r="I120" s="8" cm="1">
        <f t="array" ref="I120">_xlfn.XLOOKUP(C120,$S$9:$S$11,_xlfn.XLOOKUP(F120,$T$8:$V$8,$T$9:$V$11))</f>
        <v>59.9</v>
      </c>
      <c r="J120" s="7" t="str">
        <f t="shared" si="1"/>
        <v>Fortnite + Ubisoft</v>
      </c>
    </row>
    <row r="121" spans="1:10">
      <c r="A121" s="5" t="s">
        <v>414</v>
      </c>
      <c r="B121" s="6" t="s">
        <v>140</v>
      </c>
      <c r="C121" s="5" t="s">
        <v>13</v>
      </c>
      <c r="D121" s="7" t="s">
        <v>693</v>
      </c>
      <c r="E121" s="5" t="s">
        <v>14</v>
      </c>
      <c r="F121" s="5" t="s">
        <v>10</v>
      </c>
      <c r="G121" s="5" t="s">
        <v>14</v>
      </c>
      <c r="H121" s="5" t="s">
        <v>9</v>
      </c>
      <c r="I121" s="8" cm="1">
        <f t="array" ref="I121">_xlfn.XLOOKUP(C121,$S$9:$S$11,_xlfn.XLOOKUP(F121,$T$8:$V$8,$T$9:$V$11))</f>
        <v>278.89999999999998</v>
      </c>
      <c r="J121" s="7" t="str">
        <f t="shared" si="1"/>
        <v>Somente Fortnite</v>
      </c>
    </row>
    <row r="122" spans="1:10">
      <c r="A122" s="5" t="s">
        <v>415</v>
      </c>
      <c r="B122" s="6" t="s">
        <v>141</v>
      </c>
      <c r="C122" s="5" t="s">
        <v>8</v>
      </c>
      <c r="D122" s="7" t="s">
        <v>694</v>
      </c>
      <c r="E122" s="5" t="s">
        <v>9</v>
      </c>
      <c r="F122" s="5" t="s">
        <v>10</v>
      </c>
      <c r="G122" s="5" t="s">
        <v>9</v>
      </c>
      <c r="H122" s="5" t="s">
        <v>9</v>
      </c>
      <c r="I122" s="8" cm="1">
        <f t="array" ref="I122">_xlfn.XLOOKUP(C122,$S$9:$S$11,_xlfn.XLOOKUP(F122,$T$8:$V$8,$T$9:$V$11))</f>
        <v>538.9</v>
      </c>
      <c r="J122" s="7" t="str">
        <f t="shared" si="1"/>
        <v>Fortnite + Ubisoft</v>
      </c>
    </row>
    <row r="123" spans="1:10">
      <c r="A123" s="5" t="s">
        <v>416</v>
      </c>
      <c r="B123" s="6" t="s">
        <v>142</v>
      </c>
      <c r="C123" s="5" t="s">
        <v>13</v>
      </c>
      <c r="D123" s="7" t="s">
        <v>695</v>
      </c>
      <c r="E123" s="5" t="s">
        <v>9</v>
      </c>
      <c r="F123" s="5" t="s">
        <v>15</v>
      </c>
      <c r="G123" s="5" t="s">
        <v>14</v>
      </c>
      <c r="H123" s="5" t="s">
        <v>14</v>
      </c>
      <c r="I123" s="8" cm="1">
        <f t="array" ref="I123">_xlfn.XLOOKUP(C123,$S$9:$S$11,_xlfn.XLOOKUP(F123,$T$8:$V$8,$T$9:$V$11))</f>
        <v>34.9</v>
      </c>
      <c r="J123" s="7" t="str">
        <f t="shared" si="1"/>
        <v>Nenhum Add-on</v>
      </c>
    </row>
    <row r="124" spans="1:10">
      <c r="A124" s="5" t="s">
        <v>417</v>
      </c>
      <c r="B124" s="6" t="s">
        <v>143</v>
      </c>
      <c r="C124" s="5" t="s">
        <v>18</v>
      </c>
      <c r="D124" s="7" t="s">
        <v>696</v>
      </c>
      <c r="E124" s="5" t="s">
        <v>9</v>
      </c>
      <c r="F124" s="5" t="s">
        <v>19</v>
      </c>
      <c r="G124" s="5" t="s">
        <v>9</v>
      </c>
      <c r="H124" s="5" t="s">
        <v>14</v>
      </c>
      <c r="I124" s="8" cm="1">
        <f t="array" ref="I124">_xlfn.XLOOKUP(C124,$S$9:$S$11,_xlfn.XLOOKUP(F124,$T$8:$V$8,$T$9:$V$11))</f>
        <v>139.9</v>
      </c>
      <c r="J124" s="7" t="str">
        <f t="shared" si="1"/>
        <v>Somente Ubisoft</v>
      </c>
    </row>
    <row r="125" spans="1:10">
      <c r="A125" s="5" t="s">
        <v>418</v>
      </c>
      <c r="B125" s="6" t="s">
        <v>144</v>
      </c>
      <c r="C125" s="5" t="s">
        <v>8</v>
      </c>
      <c r="D125" s="7" t="s">
        <v>644</v>
      </c>
      <c r="E125" s="5" t="s">
        <v>14</v>
      </c>
      <c r="F125" s="5" t="s">
        <v>15</v>
      </c>
      <c r="G125" s="5" t="s">
        <v>9</v>
      </c>
      <c r="H125" s="5" t="s">
        <v>9</v>
      </c>
      <c r="I125" s="8" cm="1">
        <f t="array" ref="I125">_xlfn.XLOOKUP(C125,$S$9:$S$11,_xlfn.XLOOKUP(F125,$T$8:$V$8,$T$9:$V$11))</f>
        <v>59.9</v>
      </c>
      <c r="J125" s="7" t="str">
        <f t="shared" si="1"/>
        <v>Fortnite + Ubisoft</v>
      </c>
    </row>
    <row r="126" spans="1:10">
      <c r="A126" s="5" t="s">
        <v>419</v>
      </c>
      <c r="B126" s="6" t="s">
        <v>145</v>
      </c>
      <c r="C126" s="5" t="s">
        <v>13</v>
      </c>
      <c r="D126" s="7" t="s">
        <v>697</v>
      </c>
      <c r="E126" s="5" t="s">
        <v>14</v>
      </c>
      <c r="F126" s="5" t="s">
        <v>10</v>
      </c>
      <c r="G126" s="5" t="s">
        <v>14</v>
      </c>
      <c r="H126" s="5" t="s">
        <v>9</v>
      </c>
      <c r="I126" s="8" cm="1">
        <f t="array" ref="I126">_xlfn.XLOOKUP(C126,$S$9:$S$11,_xlfn.XLOOKUP(F126,$T$8:$V$8,$T$9:$V$11))</f>
        <v>278.89999999999998</v>
      </c>
      <c r="J126" s="7" t="str">
        <f t="shared" si="1"/>
        <v>Somente Fortnite</v>
      </c>
    </row>
    <row r="127" spans="1:10">
      <c r="A127" s="5" t="s">
        <v>420</v>
      </c>
      <c r="B127" s="6" t="s">
        <v>146</v>
      </c>
      <c r="C127" s="5" t="s">
        <v>8</v>
      </c>
      <c r="D127" s="7" t="s">
        <v>591</v>
      </c>
      <c r="E127" s="5" t="s">
        <v>9</v>
      </c>
      <c r="F127" s="5" t="s">
        <v>10</v>
      </c>
      <c r="G127" s="5" t="s">
        <v>9</v>
      </c>
      <c r="H127" s="5" t="s">
        <v>9</v>
      </c>
      <c r="I127" s="8" cm="1">
        <f t="array" ref="I127">_xlfn.XLOOKUP(C127,$S$9:$S$11,_xlfn.XLOOKUP(F127,$T$8:$V$8,$T$9:$V$11))</f>
        <v>538.9</v>
      </c>
      <c r="J127" s="7" t="str">
        <f t="shared" si="1"/>
        <v>Fortnite + Ubisoft</v>
      </c>
    </row>
    <row r="128" spans="1:10">
      <c r="A128" s="5" t="s">
        <v>421</v>
      </c>
      <c r="B128" s="6" t="s">
        <v>147</v>
      </c>
      <c r="C128" s="5" t="s">
        <v>13</v>
      </c>
      <c r="D128" s="7" t="s">
        <v>654</v>
      </c>
      <c r="E128" s="5" t="s">
        <v>14</v>
      </c>
      <c r="F128" s="5" t="s">
        <v>15</v>
      </c>
      <c r="G128" s="5" t="s">
        <v>14</v>
      </c>
      <c r="H128" s="5" t="s">
        <v>14</v>
      </c>
      <c r="I128" s="8" cm="1">
        <f t="array" ref="I128">_xlfn.XLOOKUP(C128,$S$9:$S$11,_xlfn.XLOOKUP(F128,$T$8:$V$8,$T$9:$V$11))</f>
        <v>34.9</v>
      </c>
      <c r="J128" s="7" t="str">
        <f t="shared" si="1"/>
        <v>Nenhum Add-on</v>
      </c>
    </row>
    <row r="129" spans="1:10">
      <c r="A129" s="5" t="s">
        <v>422</v>
      </c>
      <c r="B129" s="6" t="s">
        <v>148</v>
      </c>
      <c r="C129" s="5" t="s">
        <v>18</v>
      </c>
      <c r="D129" s="7" t="s">
        <v>698</v>
      </c>
      <c r="E129" s="5" t="s">
        <v>9</v>
      </c>
      <c r="F129" s="5" t="s">
        <v>19</v>
      </c>
      <c r="G129" s="5" t="s">
        <v>9</v>
      </c>
      <c r="H129" s="5" t="s">
        <v>14</v>
      </c>
      <c r="I129" s="8" cm="1">
        <f t="array" ref="I129">_xlfn.XLOOKUP(C129,$S$9:$S$11,_xlfn.XLOOKUP(F129,$T$8:$V$8,$T$9:$V$11))</f>
        <v>139.9</v>
      </c>
      <c r="J129" s="7" t="str">
        <f t="shared" si="1"/>
        <v>Somente Ubisoft</v>
      </c>
    </row>
    <row r="130" spans="1:10">
      <c r="A130" s="5" t="s">
        <v>423</v>
      </c>
      <c r="B130" s="6" t="s">
        <v>149</v>
      </c>
      <c r="C130" s="5" t="s">
        <v>8</v>
      </c>
      <c r="D130" s="7" t="s">
        <v>699</v>
      </c>
      <c r="E130" s="5" t="s">
        <v>9</v>
      </c>
      <c r="F130" s="5" t="s">
        <v>15</v>
      </c>
      <c r="G130" s="5" t="s">
        <v>9</v>
      </c>
      <c r="H130" s="5" t="s">
        <v>9</v>
      </c>
      <c r="I130" s="8" cm="1">
        <f t="array" ref="I130">_xlfn.XLOOKUP(C130,$S$9:$S$11,_xlfn.XLOOKUP(F130,$T$8:$V$8,$T$9:$V$11))</f>
        <v>59.9</v>
      </c>
      <c r="J130" s="7" t="str">
        <f t="shared" si="1"/>
        <v>Fortnite + Ubisoft</v>
      </c>
    </row>
    <row r="131" spans="1:10">
      <c r="A131" s="5" t="s">
        <v>424</v>
      </c>
      <c r="B131" s="6" t="s">
        <v>150</v>
      </c>
      <c r="C131" s="5" t="s">
        <v>13</v>
      </c>
      <c r="D131" s="7" t="s">
        <v>700</v>
      </c>
      <c r="E131" s="5" t="s">
        <v>9</v>
      </c>
      <c r="F131" s="5" t="s">
        <v>10</v>
      </c>
      <c r="G131" s="5" t="s">
        <v>14</v>
      </c>
      <c r="H131" s="5" t="s">
        <v>9</v>
      </c>
      <c r="I131" s="8" cm="1">
        <f t="array" ref="I131">_xlfn.XLOOKUP(C131,$S$9:$S$11,_xlfn.XLOOKUP(F131,$T$8:$V$8,$T$9:$V$11))</f>
        <v>278.89999999999998</v>
      </c>
      <c r="J131" s="7" t="str">
        <f t="shared" ref="J131:J194" si="2">IF(AND(G131="Sim",H131="Sim"),"Fortnite + Ubisoft",
IF(AND(G131="Sim",H131="Não"),"Somente Ubisoft",
IF(AND(G131="Não",H131="Sim"),"Somente Fortnite",
"Nenhum Add-on")))</f>
        <v>Somente Fortnite</v>
      </c>
    </row>
    <row r="132" spans="1:10">
      <c r="A132" s="5" t="s">
        <v>425</v>
      </c>
      <c r="B132" s="6" t="s">
        <v>151</v>
      </c>
      <c r="C132" s="5" t="s">
        <v>8</v>
      </c>
      <c r="D132" s="7" t="s">
        <v>701</v>
      </c>
      <c r="E132" s="5" t="s">
        <v>9</v>
      </c>
      <c r="F132" s="5" t="s">
        <v>10</v>
      </c>
      <c r="G132" s="5" t="s">
        <v>9</v>
      </c>
      <c r="H132" s="5" t="s">
        <v>9</v>
      </c>
      <c r="I132" s="8" cm="1">
        <f t="array" ref="I132">_xlfn.XLOOKUP(C132,$S$9:$S$11,_xlfn.XLOOKUP(F132,$T$8:$V$8,$T$9:$V$11))</f>
        <v>538.9</v>
      </c>
      <c r="J132" s="7" t="str">
        <f t="shared" si="2"/>
        <v>Fortnite + Ubisoft</v>
      </c>
    </row>
    <row r="133" spans="1:10">
      <c r="A133" s="5" t="s">
        <v>426</v>
      </c>
      <c r="B133" s="6" t="s">
        <v>152</v>
      </c>
      <c r="C133" s="5" t="s">
        <v>13</v>
      </c>
      <c r="D133" s="7" t="s">
        <v>702</v>
      </c>
      <c r="E133" s="5" t="s">
        <v>14</v>
      </c>
      <c r="F133" s="5" t="s">
        <v>15</v>
      </c>
      <c r="G133" s="5" t="s">
        <v>14</v>
      </c>
      <c r="H133" s="5" t="s">
        <v>14</v>
      </c>
      <c r="I133" s="8" cm="1">
        <f t="array" ref="I133">_xlfn.XLOOKUP(C133,$S$9:$S$11,_xlfn.XLOOKUP(F133,$T$8:$V$8,$T$9:$V$11))</f>
        <v>34.9</v>
      </c>
      <c r="J133" s="7" t="str">
        <f t="shared" si="2"/>
        <v>Nenhum Add-on</v>
      </c>
    </row>
    <row r="134" spans="1:10">
      <c r="A134" s="5" t="s">
        <v>427</v>
      </c>
      <c r="B134" s="6" t="s">
        <v>153</v>
      </c>
      <c r="C134" s="5" t="s">
        <v>18</v>
      </c>
      <c r="D134" s="7" t="s">
        <v>703</v>
      </c>
      <c r="E134" s="5" t="s">
        <v>9</v>
      </c>
      <c r="F134" s="5" t="s">
        <v>19</v>
      </c>
      <c r="G134" s="5" t="s">
        <v>9</v>
      </c>
      <c r="H134" s="5" t="s">
        <v>14</v>
      </c>
      <c r="I134" s="8" cm="1">
        <f t="array" ref="I134">_xlfn.XLOOKUP(C134,$S$9:$S$11,_xlfn.XLOOKUP(F134,$T$8:$V$8,$T$9:$V$11))</f>
        <v>139.9</v>
      </c>
      <c r="J134" s="7" t="str">
        <f t="shared" si="2"/>
        <v>Somente Ubisoft</v>
      </c>
    </row>
    <row r="135" spans="1:10">
      <c r="A135" s="5" t="s">
        <v>428</v>
      </c>
      <c r="B135" s="6" t="s">
        <v>154</v>
      </c>
      <c r="C135" s="5" t="s">
        <v>8</v>
      </c>
      <c r="D135" s="7" t="s">
        <v>704</v>
      </c>
      <c r="E135" s="5" t="s">
        <v>14</v>
      </c>
      <c r="F135" s="5" t="s">
        <v>15</v>
      </c>
      <c r="G135" s="5" t="s">
        <v>9</v>
      </c>
      <c r="H135" s="5" t="s">
        <v>9</v>
      </c>
      <c r="I135" s="8" cm="1">
        <f t="array" ref="I135">_xlfn.XLOOKUP(C135,$S$9:$S$11,_xlfn.XLOOKUP(F135,$T$8:$V$8,$T$9:$V$11))</f>
        <v>59.9</v>
      </c>
      <c r="J135" s="7" t="str">
        <f t="shared" si="2"/>
        <v>Fortnite + Ubisoft</v>
      </c>
    </row>
    <row r="136" spans="1:10">
      <c r="A136" s="5" t="s">
        <v>429</v>
      </c>
      <c r="B136" s="6" t="s">
        <v>155</v>
      </c>
      <c r="C136" s="5" t="s">
        <v>13</v>
      </c>
      <c r="D136" s="7" t="s">
        <v>705</v>
      </c>
      <c r="E136" s="5" t="s">
        <v>14</v>
      </c>
      <c r="F136" s="5" t="s">
        <v>10</v>
      </c>
      <c r="G136" s="5" t="s">
        <v>14</v>
      </c>
      <c r="H136" s="5" t="s">
        <v>9</v>
      </c>
      <c r="I136" s="8" cm="1">
        <f t="array" ref="I136">_xlfn.XLOOKUP(C136,$S$9:$S$11,_xlfn.XLOOKUP(F136,$T$8:$V$8,$T$9:$V$11))</f>
        <v>278.89999999999998</v>
      </c>
      <c r="J136" s="7" t="str">
        <f t="shared" si="2"/>
        <v>Somente Fortnite</v>
      </c>
    </row>
    <row r="137" spans="1:10">
      <c r="A137" s="5" t="s">
        <v>430</v>
      </c>
      <c r="B137" s="6" t="s">
        <v>156</v>
      </c>
      <c r="C137" s="5" t="s">
        <v>8</v>
      </c>
      <c r="D137" s="7" t="s">
        <v>706</v>
      </c>
      <c r="E137" s="5" t="s">
        <v>9</v>
      </c>
      <c r="F137" s="5" t="s">
        <v>10</v>
      </c>
      <c r="G137" s="5" t="s">
        <v>9</v>
      </c>
      <c r="H137" s="5" t="s">
        <v>9</v>
      </c>
      <c r="I137" s="8" cm="1">
        <f t="array" ref="I137">_xlfn.XLOOKUP(C137,$S$9:$S$11,_xlfn.XLOOKUP(F137,$T$8:$V$8,$T$9:$V$11))</f>
        <v>538.9</v>
      </c>
      <c r="J137" s="7" t="str">
        <f t="shared" si="2"/>
        <v>Fortnite + Ubisoft</v>
      </c>
    </row>
    <row r="138" spans="1:10">
      <c r="A138" s="5" t="s">
        <v>431</v>
      </c>
      <c r="B138" s="6" t="s">
        <v>157</v>
      </c>
      <c r="C138" s="5" t="s">
        <v>13</v>
      </c>
      <c r="D138" s="7" t="s">
        <v>667</v>
      </c>
      <c r="E138" s="5" t="s">
        <v>14</v>
      </c>
      <c r="F138" s="5" t="s">
        <v>15</v>
      </c>
      <c r="G138" s="5" t="s">
        <v>14</v>
      </c>
      <c r="H138" s="5" t="s">
        <v>14</v>
      </c>
      <c r="I138" s="8" cm="1">
        <f t="array" ref="I138">_xlfn.XLOOKUP(C138,$S$9:$S$11,_xlfn.XLOOKUP(F138,$T$8:$V$8,$T$9:$V$11))</f>
        <v>34.9</v>
      </c>
      <c r="J138" s="7" t="str">
        <f t="shared" si="2"/>
        <v>Nenhum Add-on</v>
      </c>
    </row>
    <row r="139" spans="1:10">
      <c r="A139" s="5" t="s">
        <v>432</v>
      </c>
      <c r="B139" s="6" t="s">
        <v>158</v>
      </c>
      <c r="C139" s="5" t="s">
        <v>18</v>
      </c>
      <c r="D139" s="7" t="s">
        <v>677</v>
      </c>
      <c r="E139" s="5" t="s">
        <v>9</v>
      </c>
      <c r="F139" s="5" t="s">
        <v>19</v>
      </c>
      <c r="G139" s="5" t="s">
        <v>9</v>
      </c>
      <c r="H139" s="5" t="s">
        <v>14</v>
      </c>
      <c r="I139" s="8" cm="1">
        <f t="array" ref="I139">_xlfn.XLOOKUP(C139,$S$9:$S$11,_xlfn.XLOOKUP(F139,$T$8:$V$8,$T$9:$V$11))</f>
        <v>139.9</v>
      </c>
      <c r="J139" s="7" t="str">
        <f t="shared" si="2"/>
        <v>Somente Ubisoft</v>
      </c>
    </row>
    <row r="140" spans="1:10">
      <c r="A140" s="5" t="s">
        <v>433</v>
      </c>
      <c r="B140" s="6" t="s">
        <v>159</v>
      </c>
      <c r="C140" s="5" t="s">
        <v>8</v>
      </c>
      <c r="D140" s="7" t="s">
        <v>707</v>
      </c>
      <c r="E140" s="5" t="s">
        <v>9</v>
      </c>
      <c r="F140" s="5" t="s">
        <v>15</v>
      </c>
      <c r="G140" s="5" t="s">
        <v>9</v>
      </c>
      <c r="H140" s="5" t="s">
        <v>9</v>
      </c>
      <c r="I140" s="8" cm="1">
        <f t="array" ref="I140">_xlfn.XLOOKUP(C140,$S$9:$S$11,_xlfn.XLOOKUP(F140,$T$8:$V$8,$T$9:$V$11))</f>
        <v>59.9</v>
      </c>
      <c r="J140" s="7" t="str">
        <f t="shared" si="2"/>
        <v>Fortnite + Ubisoft</v>
      </c>
    </row>
    <row r="141" spans="1:10">
      <c r="A141" s="5" t="s">
        <v>434</v>
      </c>
      <c r="B141" s="6" t="s">
        <v>17</v>
      </c>
      <c r="C141" s="5" t="s">
        <v>13</v>
      </c>
      <c r="D141" s="7" t="s">
        <v>708</v>
      </c>
      <c r="E141" s="5" t="s">
        <v>9</v>
      </c>
      <c r="F141" s="5" t="s">
        <v>10</v>
      </c>
      <c r="G141" s="5" t="s">
        <v>14</v>
      </c>
      <c r="H141" s="5" t="s">
        <v>9</v>
      </c>
      <c r="I141" s="8" cm="1">
        <f t="array" ref="I141">_xlfn.XLOOKUP(C141,$S$9:$S$11,_xlfn.XLOOKUP(F141,$T$8:$V$8,$T$9:$V$11))</f>
        <v>278.89999999999998</v>
      </c>
      <c r="J141" s="7" t="str">
        <f t="shared" si="2"/>
        <v>Somente Fortnite</v>
      </c>
    </row>
    <row r="142" spans="1:10">
      <c r="A142" s="5" t="s">
        <v>435</v>
      </c>
      <c r="B142" s="6" t="s">
        <v>160</v>
      </c>
      <c r="C142" s="5" t="s">
        <v>8</v>
      </c>
      <c r="D142" s="7" t="s">
        <v>697</v>
      </c>
      <c r="E142" s="5" t="s">
        <v>14</v>
      </c>
      <c r="F142" s="5" t="s">
        <v>10</v>
      </c>
      <c r="G142" s="5" t="s">
        <v>9</v>
      </c>
      <c r="H142" s="5" t="s">
        <v>9</v>
      </c>
      <c r="I142" s="8" cm="1">
        <f t="array" ref="I142">_xlfn.XLOOKUP(C142,$S$9:$S$11,_xlfn.XLOOKUP(F142,$T$8:$V$8,$T$9:$V$11))</f>
        <v>538.9</v>
      </c>
      <c r="J142" s="7" t="str">
        <f t="shared" si="2"/>
        <v>Fortnite + Ubisoft</v>
      </c>
    </row>
    <row r="143" spans="1:10">
      <c r="A143" s="5" t="s">
        <v>436</v>
      </c>
      <c r="B143" s="6" t="s">
        <v>161</v>
      </c>
      <c r="C143" s="5" t="s">
        <v>13</v>
      </c>
      <c r="D143" s="7" t="s">
        <v>709</v>
      </c>
      <c r="E143" s="5" t="s">
        <v>14</v>
      </c>
      <c r="F143" s="5" t="s">
        <v>15</v>
      </c>
      <c r="G143" s="5" t="s">
        <v>14</v>
      </c>
      <c r="H143" s="5" t="s">
        <v>14</v>
      </c>
      <c r="I143" s="8" cm="1">
        <f t="array" ref="I143">_xlfn.XLOOKUP(C143,$S$9:$S$11,_xlfn.XLOOKUP(F143,$T$8:$V$8,$T$9:$V$11))</f>
        <v>34.9</v>
      </c>
      <c r="J143" s="7" t="str">
        <f t="shared" si="2"/>
        <v>Nenhum Add-on</v>
      </c>
    </row>
    <row r="144" spans="1:10">
      <c r="A144" s="5" t="s">
        <v>437</v>
      </c>
      <c r="B144" s="6" t="s">
        <v>162</v>
      </c>
      <c r="C144" s="5" t="s">
        <v>18</v>
      </c>
      <c r="D144" s="7" t="s">
        <v>710</v>
      </c>
      <c r="E144" s="5" t="s">
        <v>9</v>
      </c>
      <c r="F144" s="5" t="s">
        <v>19</v>
      </c>
      <c r="G144" s="5" t="s">
        <v>9</v>
      </c>
      <c r="H144" s="5" t="s">
        <v>14</v>
      </c>
      <c r="I144" s="8" cm="1">
        <f t="array" ref="I144">_xlfn.XLOOKUP(C144,$S$9:$S$11,_xlfn.XLOOKUP(F144,$T$8:$V$8,$T$9:$V$11))</f>
        <v>139.9</v>
      </c>
      <c r="J144" s="7" t="str">
        <f t="shared" si="2"/>
        <v>Somente Ubisoft</v>
      </c>
    </row>
    <row r="145" spans="1:10">
      <c r="A145" s="5" t="s">
        <v>438</v>
      </c>
      <c r="B145" s="6" t="s">
        <v>163</v>
      </c>
      <c r="C145" s="5" t="s">
        <v>8</v>
      </c>
      <c r="D145" s="7" t="s">
        <v>604</v>
      </c>
      <c r="E145" s="5" t="s">
        <v>9</v>
      </c>
      <c r="F145" s="5" t="s">
        <v>15</v>
      </c>
      <c r="G145" s="5" t="s">
        <v>9</v>
      </c>
      <c r="H145" s="5" t="s">
        <v>9</v>
      </c>
      <c r="I145" s="8" cm="1">
        <f t="array" ref="I145">_xlfn.XLOOKUP(C145,$S$9:$S$11,_xlfn.XLOOKUP(F145,$T$8:$V$8,$T$9:$V$11))</f>
        <v>59.9</v>
      </c>
      <c r="J145" s="7" t="str">
        <f t="shared" si="2"/>
        <v>Fortnite + Ubisoft</v>
      </c>
    </row>
    <row r="146" spans="1:10">
      <c r="A146" s="5" t="s">
        <v>439</v>
      </c>
      <c r="B146" s="6" t="s">
        <v>164</v>
      </c>
      <c r="C146" s="5" t="s">
        <v>13</v>
      </c>
      <c r="D146" s="7" t="s">
        <v>689</v>
      </c>
      <c r="E146" s="5" t="s">
        <v>14</v>
      </c>
      <c r="F146" s="5" t="s">
        <v>10</v>
      </c>
      <c r="G146" s="5" t="s">
        <v>14</v>
      </c>
      <c r="H146" s="5" t="s">
        <v>9</v>
      </c>
      <c r="I146" s="8" cm="1">
        <f t="array" ref="I146">_xlfn.XLOOKUP(C146,$S$9:$S$11,_xlfn.XLOOKUP(F146,$T$8:$V$8,$T$9:$V$11))</f>
        <v>278.89999999999998</v>
      </c>
      <c r="J146" s="7" t="str">
        <f t="shared" si="2"/>
        <v>Somente Fortnite</v>
      </c>
    </row>
    <row r="147" spans="1:10">
      <c r="A147" s="5" t="s">
        <v>440</v>
      </c>
      <c r="B147" s="6" t="s">
        <v>165</v>
      </c>
      <c r="C147" s="5" t="s">
        <v>8</v>
      </c>
      <c r="D147" s="7" t="s">
        <v>711</v>
      </c>
      <c r="E147" s="5" t="s">
        <v>9</v>
      </c>
      <c r="F147" s="5" t="s">
        <v>10</v>
      </c>
      <c r="G147" s="5" t="s">
        <v>9</v>
      </c>
      <c r="H147" s="5" t="s">
        <v>9</v>
      </c>
      <c r="I147" s="8" cm="1">
        <f t="array" ref="I147">_xlfn.XLOOKUP(C147,$S$9:$S$11,_xlfn.XLOOKUP(F147,$T$8:$V$8,$T$9:$V$11))</f>
        <v>538.9</v>
      </c>
      <c r="J147" s="7" t="str">
        <f t="shared" si="2"/>
        <v>Fortnite + Ubisoft</v>
      </c>
    </row>
    <row r="148" spans="1:10">
      <c r="A148" s="5" t="s">
        <v>441</v>
      </c>
      <c r="B148" s="6" t="s">
        <v>166</v>
      </c>
      <c r="C148" s="5" t="s">
        <v>13</v>
      </c>
      <c r="D148" s="7" t="s">
        <v>712</v>
      </c>
      <c r="E148" s="5" t="s">
        <v>9</v>
      </c>
      <c r="F148" s="5" t="s">
        <v>15</v>
      </c>
      <c r="G148" s="5" t="s">
        <v>14</v>
      </c>
      <c r="H148" s="5" t="s">
        <v>14</v>
      </c>
      <c r="I148" s="8" cm="1">
        <f t="array" ref="I148">_xlfn.XLOOKUP(C148,$S$9:$S$11,_xlfn.XLOOKUP(F148,$T$8:$V$8,$T$9:$V$11))</f>
        <v>34.9</v>
      </c>
      <c r="J148" s="7" t="str">
        <f t="shared" si="2"/>
        <v>Nenhum Add-on</v>
      </c>
    </row>
    <row r="149" spans="1:10">
      <c r="A149" s="5" t="s">
        <v>442</v>
      </c>
      <c r="B149" s="6" t="s">
        <v>167</v>
      </c>
      <c r="C149" s="5" t="s">
        <v>18</v>
      </c>
      <c r="D149" s="7" t="s">
        <v>713</v>
      </c>
      <c r="E149" s="5" t="s">
        <v>9</v>
      </c>
      <c r="F149" s="5" t="s">
        <v>19</v>
      </c>
      <c r="G149" s="5" t="s">
        <v>9</v>
      </c>
      <c r="H149" s="5" t="s">
        <v>14</v>
      </c>
      <c r="I149" s="8" cm="1">
        <f t="array" ref="I149">_xlfn.XLOOKUP(C149,$S$9:$S$11,_xlfn.XLOOKUP(F149,$T$8:$V$8,$T$9:$V$11))</f>
        <v>139.9</v>
      </c>
      <c r="J149" s="7" t="str">
        <f t="shared" si="2"/>
        <v>Somente Ubisoft</v>
      </c>
    </row>
    <row r="150" spans="1:10">
      <c r="A150" s="5" t="s">
        <v>443</v>
      </c>
      <c r="B150" s="6" t="s">
        <v>168</v>
      </c>
      <c r="C150" s="5" t="s">
        <v>8</v>
      </c>
      <c r="D150" s="7" t="s">
        <v>714</v>
      </c>
      <c r="E150" s="5" t="s">
        <v>9</v>
      </c>
      <c r="F150" s="5" t="s">
        <v>15</v>
      </c>
      <c r="G150" s="5" t="s">
        <v>9</v>
      </c>
      <c r="H150" s="5" t="s">
        <v>9</v>
      </c>
      <c r="I150" s="8" cm="1">
        <f t="array" ref="I150">_xlfn.XLOOKUP(C150,$S$9:$S$11,_xlfn.XLOOKUP(F150,$T$8:$V$8,$T$9:$V$11))</f>
        <v>59.9</v>
      </c>
      <c r="J150" s="7" t="str">
        <f t="shared" si="2"/>
        <v>Fortnite + Ubisoft</v>
      </c>
    </row>
    <row r="151" spans="1:10">
      <c r="A151" s="5" t="s">
        <v>444</v>
      </c>
      <c r="B151" s="6" t="s">
        <v>169</v>
      </c>
      <c r="C151" s="5" t="s">
        <v>13</v>
      </c>
      <c r="D151" s="7" t="s">
        <v>715</v>
      </c>
      <c r="E151" s="5" t="s">
        <v>14</v>
      </c>
      <c r="F151" s="5" t="s">
        <v>10</v>
      </c>
      <c r="G151" s="5" t="s">
        <v>14</v>
      </c>
      <c r="H151" s="5" t="s">
        <v>9</v>
      </c>
      <c r="I151" s="8" cm="1">
        <f t="array" ref="I151">_xlfn.XLOOKUP(C151,$S$9:$S$11,_xlfn.XLOOKUP(F151,$T$8:$V$8,$T$9:$V$11))</f>
        <v>278.89999999999998</v>
      </c>
      <c r="J151" s="7" t="str">
        <f t="shared" si="2"/>
        <v>Somente Fortnite</v>
      </c>
    </row>
    <row r="152" spans="1:10">
      <c r="A152" s="5" t="s">
        <v>445</v>
      </c>
      <c r="B152" s="6" t="s">
        <v>170</v>
      </c>
      <c r="C152" s="5" t="s">
        <v>8</v>
      </c>
      <c r="D152" s="7" t="s">
        <v>698</v>
      </c>
      <c r="E152" s="5" t="s">
        <v>9</v>
      </c>
      <c r="F152" s="5" t="s">
        <v>10</v>
      </c>
      <c r="G152" s="5" t="s">
        <v>9</v>
      </c>
      <c r="H152" s="5" t="s">
        <v>9</v>
      </c>
      <c r="I152" s="8" cm="1">
        <f t="array" ref="I152">_xlfn.XLOOKUP(C152,$S$9:$S$11,_xlfn.XLOOKUP(F152,$T$8:$V$8,$T$9:$V$11))</f>
        <v>538.9</v>
      </c>
      <c r="J152" s="7" t="str">
        <f t="shared" si="2"/>
        <v>Fortnite + Ubisoft</v>
      </c>
    </row>
    <row r="153" spans="1:10">
      <c r="A153" s="5" t="s">
        <v>446</v>
      </c>
      <c r="B153" s="6" t="s">
        <v>171</v>
      </c>
      <c r="C153" s="5" t="s">
        <v>13</v>
      </c>
      <c r="D153" s="7" t="s">
        <v>627</v>
      </c>
      <c r="E153" s="5" t="s">
        <v>14</v>
      </c>
      <c r="F153" s="5" t="s">
        <v>15</v>
      </c>
      <c r="G153" s="5" t="s">
        <v>14</v>
      </c>
      <c r="H153" s="5" t="s">
        <v>14</v>
      </c>
      <c r="I153" s="8" cm="1">
        <f t="array" ref="I153">_xlfn.XLOOKUP(C153,$S$9:$S$11,_xlfn.XLOOKUP(F153,$T$8:$V$8,$T$9:$V$11))</f>
        <v>34.9</v>
      </c>
      <c r="J153" s="7" t="str">
        <f t="shared" si="2"/>
        <v>Nenhum Add-on</v>
      </c>
    </row>
    <row r="154" spans="1:10">
      <c r="A154" s="5" t="s">
        <v>447</v>
      </c>
      <c r="B154" s="6" t="s">
        <v>172</v>
      </c>
      <c r="C154" s="5" t="s">
        <v>18</v>
      </c>
      <c r="D154" s="7" t="s">
        <v>706</v>
      </c>
      <c r="E154" s="5" t="s">
        <v>9</v>
      </c>
      <c r="F154" s="5" t="s">
        <v>19</v>
      </c>
      <c r="G154" s="5" t="s">
        <v>9</v>
      </c>
      <c r="H154" s="5" t="s">
        <v>14</v>
      </c>
      <c r="I154" s="8" cm="1">
        <f t="array" ref="I154">_xlfn.XLOOKUP(C154,$S$9:$S$11,_xlfn.XLOOKUP(F154,$T$8:$V$8,$T$9:$V$11))</f>
        <v>139.9</v>
      </c>
      <c r="J154" s="7" t="str">
        <f t="shared" si="2"/>
        <v>Somente Ubisoft</v>
      </c>
    </row>
    <row r="155" spans="1:10">
      <c r="A155" s="5" t="s">
        <v>448</v>
      </c>
      <c r="B155" s="6" t="s">
        <v>173</v>
      </c>
      <c r="C155" s="5" t="s">
        <v>8</v>
      </c>
      <c r="D155" s="7" t="s">
        <v>716</v>
      </c>
      <c r="E155" s="5" t="s">
        <v>14</v>
      </c>
      <c r="F155" s="5" t="s">
        <v>15</v>
      </c>
      <c r="G155" s="5" t="s">
        <v>9</v>
      </c>
      <c r="H155" s="5" t="s">
        <v>9</v>
      </c>
      <c r="I155" s="8" cm="1">
        <f t="array" ref="I155">_xlfn.XLOOKUP(C155,$S$9:$S$11,_xlfn.XLOOKUP(F155,$T$8:$V$8,$T$9:$V$11))</f>
        <v>59.9</v>
      </c>
      <c r="J155" s="7" t="str">
        <f t="shared" si="2"/>
        <v>Fortnite + Ubisoft</v>
      </c>
    </row>
    <row r="156" spans="1:10">
      <c r="A156" s="5" t="s">
        <v>449</v>
      </c>
      <c r="B156" s="6" t="s">
        <v>174</v>
      </c>
      <c r="C156" s="5" t="s">
        <v>13</v>
      </c>
      <c r="D156" s="7" t="s">
        <v>717</v>
      </c>
      <c r="E156" s="5" t="s">
        <v>14</v>
      </c>
      <c r="F156" s="5" t="s">
        <v>10</v>
      </c>
      <c r="G156" s="5" t="s">
        <v>14</v>
      </c>
      <c r="H156" s="5" t="s">
        <v>9</v>
      </c>
      <c r="I156" s="8" cm="1">
        <f t="array" ref="I156">_xlfn.XLOOKUP(C156,$S$9:$S$11,_xlfn.XLOOKUP(F156,$T$8:$V$8,$T$9:$V$11))</f>
        <v>278.89999999999998</v>
      </c>
      <c r="J156" s="7" t="str">
        <f t="shared" si="2"/>
        <v>Somente Fortnite</v>
      </c>
    </row>
    <row r="157" spans="1:10">
      <c r="A157" s="5" t="s">
        <v>450</v>
      </c>
      <c r="B157" s="6" t="s">
        <v>175</v>
      </c>
      <c r="C157" s="5" t="s">
        <v>8</v>
      </c>
      <c r="D157" s="7" t="s">
        <v>718</v>
      </c>
      <c r="E157" s="5" t="s">
        <v>9</v>
      </c>
      <c r="F157" s="5" t="s">
        <v>10</v>
      </c>
      <c r="G157" s="5" t="s">
        <v>9</v>
      </c>
      <c r="H157" s="5" t="s">
        <v>9</v>
      </c>
      <c r="I157" s="8" cm="1">
        <f t="array" ref="I157">_xlfn.XLOOKUP(C157,$S$9:$S$11,_xlfn.XLOOKUP(F157,$T$8:$V$8,$T$9:$V$11))</f>
        <v>538.9</v>
      </c>
      <c r="J157" s="7" t="str">
        <f t="shared" si="2"/>
        <v>Fortnite + Ubisoft</v>
      </c>
    </row>
    <row r="158" spans="1:10">
      <c r="A158" s="5" t="s">
        <v>451</v>
      </c>
      <c r="B158" s="6" t="s">
        <v>176</v>
      </c>
      <c r="C158" s="5" t="s">
        <v>13</v>
      </c>
      <c r="D158" s="7" t="s">
        <v>719</v>
      </c>
      <c r="E158" s="5" t="s">
        <v>14</v>
      </c>
      <c r="F158" s="5" t="s">
        <v>15</v>
      </c>
      <c r="G158" s="5" t="s">
        <v>14</v>
      </c>
      <c r="H158" s="5" t="s">
        <v>14</v>
      </c>
      <c r="I158" s="8" cm="1">
        <f t="array" ref="I158">_xlfn.XLOOKUP(C158,$S$9:$S$11,_xlfn.XLOOKUP(F158,$T$8:$V$8,$T$9:$V$11))</f>
        <v>34.9</v>
      </c>
      <c r="J158" s="7" t="str">
        <f t="shared" si="2"/>
        <v>Nenhum Add-on</v>
      </c>
    </row>
    <row r="159" spans="1:10">
      <c r="A159" s="5" t="s">
        <v>452</v>
      </c>
      <c r="B159" s="6" t="s">
        <v>177</v>
      </c>
      <c r="C159" s="5" t="s">
        <v>18</v>
      </c>
      <c r="D159" s="7" t="s">
        <v>590</v>
      </c>
      <c r="E159" s="5" t="s">
        <v>9</v>
      </c>
      <c r="F159" s="5" t="s">
        <v>19</v>
      </c>
      <c r="G159" s="5" t="s">
        <v>9</v>
      </c>
      <c r="H159" s="5" t="s">
        <v>14</v>
      </c>
      <c r="I159" s="8" cm="1">
        <f t="array" ref="I159">_xlfn.XLOOKUP(C159,$S$9:$S$11,_xlfn.XLOOKUP(F159,$T$8:$V$8,$T$9:$V$11))</f>
        <v>139.9</v>
      </c>
      <c r="J159" s="7" t="str">
        <f t="shared" si="2"/>
        <v>Somente Ubisoft</v>
      </c>
    </row>
    <row r="160" spans="1:10">
      <c r="A160" s="5" t="s">
        <v>453</v>
      </c>
      <c r="B160" s="6" t="s">
        <v>178</v>
      </c>
      <c r="C160" s="5" t="s">
        <v>8</v>
      </c>
      <c r="D160" s="7" t="s">
        <v>720</v>
      </c>
      <c r="E160" s="5" t="s">
        <v>9</v>
      </c>
      <c r="F160" s="5" t="s">
        <v>15</v>
      </c>
      <c r="G160" s="5" t="s">
        <v>9</v>
      </c>
      <c r="H160" s="5" t="s">
        <v>9</v>
      </c>
      <c r="I160" s="8" cm="1">
        <f t="array" ref="I160">_xlfn.XLOOKUP(C160,$S$9:$S$11,_xlfn.XLOOKUP(F160,$T$8:$V$8,$T$9:$V$11))</f>
        <v>59.9</v>
      </c>
      <c r="J160" s="7" t="str">
        <f t="shared" si="2"/>
        <v>Fortnite + Ubisoft</v>
      </c>
    </row>
    <row r="161" spans="1:10">
      <c r="A161" s="5" t="s">
        <v>454</v>
      </c>
      <c r="B161" s="6" t="s">
        <v>179</v>
      </c>
      <c r="C161" s="5" t="s">
        <v>13</v>
      </c>
      <c r="D161" s="7" t="s">
        <v>721</v>
      </c>
      <c r="E161" s="5" t="s">
        <v>14</v>
      </c>
      <c r="F161" s="5" t="s">
        <v>10</v>
      </c>
      <c r="G161" s="5" t="s">
        <v>14</v>
      </c>
      <c r="H161" s="5" t="s">
        <v>9</v>
      </c>
      <c r="I161" s="8" cm="1">
        <f t="array" ref="I161">_xlfn.XLOOKUP(C161,$S$9:$S$11,_xlfn.XLOOKUP(F161,$T$8:$V$8,$T$9:$V$11))</f>
        <v>278.89999999999998</v>
      </c>
      <c r="J161" s="7" t="str">
        <f t="shared" si="2"/>
        <v>Somente Fortnite</v>
      </c>
    </row>
    <row r="162" spans="1:10">
      <c r="A162" s="5" t="s">
        <v>455</v>
      </c>
      <c r="B162" s="6" t="s">
        <v>80</v>
      </c>
      <c r="C162" s="5" t="s">
        <v>8</v>
      </c>
      <c r="D162" s="7" t="s">
        <v>722</v>
      </c>
      <c r="E162" s="5" t="s">
        <v>9</v>
      </c>
      <c r="F162" s="5" t="s">
        <v>10</v>
      </c>
      <c r="G162" s="5" t="s">
        <v>9</v>
      </c>
      <c r="H162" s="5" t="s">
        <v>9</v>
      </c>
      <c r="I162" s="8" cm="1">
        <f t="array" ref="I162">_xlfn.XLOOKUP(C162,$S$9:$S$11,_xlfn.XLOOKUP(F162,$T$8:$V$8,$T$9:$V$11))</f>
        <v>538.9</v>
      </c>
      <c r="J162" s="7" t="str">
        <f t="shared" si="2"/>
        <v>Fortnite + Ubisoft</v>
      </c>
    </row>
    <row r="163" spans="1:10">
      <c r="A163" s="5" t="s">
        <v>456</v>
      </c>
      <c r="B163" s="6" t="s">
        <v>180</v>
      </c>
      <c r="C163" s="5" t="s">
        <v>13</v>
      </c>
      <c r="D163" s="7" t="s">
        <v>723</v>
      </c>
      <c r="E163" s="5" t="s">
        <v>14</v>
      </c>
      <c r="F163" s="5" t="s">
        <v>15</v>
      </c>
      <c r="G163" s="5" t="s">
        <v>14</v>
      </c>
      <c r="H163" s="5" t="s">
        <v>14</v>
      </c>
      <c r="I163" s="8" cm="1">
        <f t="array" ref="I163">_xlfn.XLOOKUP(C163,$S$9:$S$11,_xlfn.XLOOKUP(F163,$T$8:$V$8,$T$9:$V$11))</f>
        <v>34.9</v>
      </c>
      <c r="J163" s="7" t="str">
        <f t="shared" si="2"/>
        <v>Nenhum Add-on</v>
      </c>
    </row>
    <row r="164" spans="1:10">
      <c r="A164" s="5" t="s">
        <v>457</v>
      </c>
      <c r="B164" s="6" t="s">
        <v>181</v>
      </c>
      <c r="C164" s="5" t="s">
        <v>18</v>
      </c>
      <c r="D164" s="7" t="s">
        <v>724</v>
      </c>
      <c r="E164" s="5" t="s">
        <v>9</v>
      </c>
      <c r="F164" s="5" t="s">
        <v>19</v>
      </c>
      <c r="G164" s="5" t="s">
        <v>9</v>
      </c>
      <c r="H164" s="5" t="s">
        <v>14</v>
      </c>
      <c r="I164" s="8" cm="1">
        <f t="array" ref="I164">_xlfn.XLOOKUP(C164,$S$9:$S$11,_xlfn.XLOOKUP(F164,$T$8:$V$8,$T$9:$V$11))</f>
        <v>139.9</v>
      </c>
      <c r="J164" s="7" t="str">
        <f t="shared" si="2"/>
        <v>Somente Ubisoft</v>
      </c>
    </row>
    <row r="165" spans="1:10">
      <c r="A165" s="5" t="s">
        <v>458</v>
      </c>
      <c r="B165" s="6" t="s">
        <v>182</v>
      </c>
      <c r="C165" s="5" t="s">
        <v>8</v>
      </c>
      <c r="D165" s="7" t="s">
        <v>643</v>
      </c>
      <c r="E165" s="5" t="s">
        <v>9</v>
      </c>
      <c r="F165" s="5" t="s">
        <v>15</v>
      </c>
      <c r="G165" s="5" t="s">
        <v>9</v>
      </c>
      <c r="H165" s="5" t="s">
        <v>9</v>
      </c>
      <c r="I165" s="8" cm="1">
        <f t="array" ref="I165">_xlfn.XLOOKUP(C165,$S$9:$S$11,_xlfn.XLOOKUP(F165,$T$8:$V$8,$T$9:$V$11))</f>
        <v>59.9</v>
      </c>
      <c r="J165" s="7" t="str">
        <f t="shared" si="2"/>
        <v>Fortnite + Ubisoft</v>
      </c>
    </row>
    <row r="166" spans="1:10">
      <c r="A166" s="5" t="s">
        <v>459</v>
      </c>
      <c r="B166" s="6" t="s">
        <v>183</v>
      </c>
      <c r="C166" s="5" t="s">
        <v>13</v>
      </c>
      <c r="D166" s="7" t="s">
        <v>627</v>
      </c>
      <c r="E166" s="5" t="s">
        <v>9</v>
      </c>
      <c r="F166" s="5" t="s">
        <v>10</v>
      </c>
      <c r="G166" s="5" t="s">
        <v>14</v>
      </c>
      <c r="H166" s="5" t="s">
        <v>9</v>
      </c>
      <c r="I166" s="8" cm="1">
        <f t="array" ref="I166">_xlfn.XLOOKUP(C166,$S$9:$S$11,_xlfn.XLOOKUP(F166,$T$8:$V$8,$T$9:$V$11))</f>
        <v>278.89999999999998</v>
      </c>
      <c r="J166" s="7" t="str">
        <f t="shared" si="2"/>
        <v>Somente Fortnite</v>
      </c>
    </row>
    <row r="167" spans="1:10">
      <c r="A167" s="5" t="s">
        <v>460</v>
      </c>
      <c r="B167" s="6" t="s">
        <v>184</v>
      </c>
      <c r="C167" s="5" t="s">
        <v>8</v>
      </c>
      <c r="D167" s="7" t="s">
        <v>725</v>
      </c>
      <c r="E167" s="5" t="s">
        <v>14</v>
      </c>
      <c r="F167" s="5" t="s">
        <v>10</v>
      </c>
      <c r="G167" s="5" t="s">
        <v>9</v>
      </c>
      <c r="H167" s="5" t="s">
        <v>9</v>
      </c>
      <c r="I167" s="8" cm="1">
        <f t="array" ref="I167">_xlfn.XLOOKUP(C167,$S$9:$S$11,_xlfn.XLOOKUP(F167,$T$8:$V$8,$T$9:$V$11))</f>
        <v>538.9</v>
      </c>
      <c r="J167" s="7" t="str">
        <f t="shared" si="2"/>
        <v>Fortnite + Ubisoft</v>
      </c>
    </row>
    <row r="168" spans="1:10">
      <c r="A168" s="5" t="s">
        <v>461</v>
      </c>
      <c r="B168" s="6" t="s">
        <v>112</v>
      </c>
      <c r="C168" s="5" t="s">
        <v>13</v>
      </c>
      <c r="D168" s="7" t="s">
        <v>726</v>
      </c>
      <c r="E168" s="5" t="s">
        <v>14</v>
      </c>
      <c r="F168" s="5" t="s">
        <v>15</v>
      </c>
      <c r="G168" s="5" t="s">
        <v>14</v>
      </c>
      <c r="H168" s="5" t="s">
        <v>14</v>
      </c>
      <c r="I168" s="8" cm="1">
        <f t="array" ref="I168">_xlfn.XLOOKUP(C168,$S$9:$S$11,_xlfn.XLOOKUP(F168,$T$8:$V$8,$T$9:$V$11))</f>
        <v>34.9</v>
      </c>
      <c r="J168" s="7" t="str">
        <f t="shared" si="2"/>
        <v>Nenhum Add-on</v>
      </c>
    </row>
    <row r="169" spans="1:10">
      <c r="A169" s="5" t="s">
        <v>462</v>
      </c>
      <c r="B169" s="6" t="s">
        <v>185</v>
      </c>
      <c r="C169" s="5" t="s">
        <v>18</v>
      </c>
      <c r="D169" s="7" t="s">
        <v>699</v>
      </c>
      <c r="E169" s="5" t="s">
        <v>9</v>
      </c>
      <c r="F169" s="5" t="s">
        <v>19</v>
      </c>
      <c r="G169" s="5" t="s">
        <v>9</v>
      </c>
      <c r="H169" s="5" t="s">
        <v>14</v>
      </c>
      <c r="I169" s="8" cm="1">
        <f t="array" ref="I169">_xlfn.XLOOKUP(C169,$S$9:$S$11,_xlfn.XLOOKUP(F169,$T$8:$V$8,$T$9:$V$11))</f>
        <v>139.9</v>
      </c>
      <c r="J169" s="7" t="str">
        <f t="shared" si="2"/>
        <v>Somente Ubisoft</v>
      </c>
    </row>
    <row r="170" spans="1:10">
      <c r="A170" s="5" t="s">
        <v>463</v>
      </c>
      <c r="B170" s="6" t="s">
        <v>186</v>
      </c>
      <c r="C170" s="5" t="s">
        <v>8</v>
      </c>
      <c r="D170" s="7" t="s">
        <v>686</v>
      </c>
      <c r="E170" s="5" t="s">
        <v>9</v>
      </c>
      <c r="F170" s="5" t="s">
        <v>15</v>
      </c>
      <c r="G170" s="5" t="s">
        <v>9</v>
      </c>
      <c r="H170" s="5" t="s">
        <v>9</v>
      </c>
      <c r="I170" s="8" cm="1">
        <f t="array" ref="I170">_xlfn.XLOOKUP(C170,$S$9:$S$11,_xlfn.XLOOKUP(F170,$T$8:$V$8,$T$9:$V$11))</f>
        <v>59.9</v>
      </c>
      <c r="J170" s="7" t="str">
        <f t="shared" si="2"/>
        <v>Fortnite + Ubisoft</v>
      </c>
    </row>
    <row r="171" spans="1:10">
      <c r="A171" s="5" t="s">
        <v>464</v>
      </c>
      <c r="B171" s="6" t="s">
        <v>187</v>
      </c>
      <c r="C171" s="5" t="s">
        <v>13</v>
      </c>
      <c r="D171" s="7" t="s">
        <v>727</v>
      </c>
      <c r="E171" s="5" t="s">
        <v>14</v>
      </c>
      <c r="F171" s="5" t="s">
        <v>10</v>
      </c>
      <c r="G171" s="5" t="s">
        <v>14</v>
      </c>
      <c r="H171" s="5" t="s">
        <v>9</v>
      </c>
      <c r="I171" s="8" cm="1">
        <f t="array" ref="I171">_xlfn.XLOOKUP(C171,$S$9:$S$11,_xlfn.XLOOKUP(F171,$T$8:$V$8,$T$9:$V$11))</f>
        <v>278.89999999999998</v>
      </c>
      <c r="J171" s="7" t="str">
        <f t="shared" si="2"/>
        <v>Somente Fortnite</v>
      </c>
    </row>
    <row r="172" spans="1:10">
      <c r="A172" s="5" t="s">
        <v>465</v>
      </c>
      <c r="B172" s="6" t="s">
        <v>188</v>
      </c>
      <c r="C172" s="5" t="s">
        <v>8</v>
      </c>
      <c r="D172" s="7" t="s">
        <v>728</v>
      </c>
      <c r="E172" s="5" t="s">
        <v>9</v>
      </c>
      <c r="F172" s="5" t="s">
        <v>10</v>
      </c>
      <c r="G172" s="5" t="s">
        <v>9</v>
      </c>
      <c r="H172" s="5" t="s">
        <v>9</v>
      </c>
      <c r="I172" s="8" cm="1">
        <f t="array" ref="I172">_xlfn.XLOOKUP(C172,$S$9:$S$11,_xlfn.XLOOKUP(F172,$T$8:$V$8,$T$9:$V$11))</f>
        <v>538.9</v>
      </c>
      <c r="J172" s="7" t="str">
        <f t="shared" si="2"/>
        <v>Fortnite + Ubisoft</v>
      </c>
    </row>
    <row r="173" spans="1:10">
      <c r="A173" s="5" t="s">
        <v>466</v>
      </c>
      <c r="B173" s="6" t="s">
        <v>189</v>
      </c>
      <c r="C173" s="5" t="s">
        <v>13</v>
      </c>
      <c r="D173" s="7" t="s">
        <v>729</v>
      </c>
      <c r="E173" s="5" t="s">
        <v>14</v>
      </c>
      <c r="F173" s="5" t="s">
        <v>15</v>
      </c>
      <c r="G173" s="5" t="s">
        <v>14</v>
      </c>
      <c r="H173" s="5" t="s">
        <v>14</v>
      </c>
      <c r="I173" s="8" cm="1">
        <f t="array" ref="I173">_xlfn.XLOOKUP(C173,$S$9:$S$11,_xlfn.XLOOKUP(F173,$T$8:$V$8,$T$9:$V$11))</f>
        <v>34.9</v>
      </c>
      <c r="J173" s="7" t="str">
        <f t="shared" si="2"/>
        <v>Nenhum Add-on</v>
      </c>
    </row>
    <row r="174" spans="1:10">
      <c r="A174" s="5" t="s">
        <v>467</v>
      </c>
      <c r="B174" s="6" t="s">
        <v>190</v>
      </c>
      <c r="C174" s="5" t="s">
        <v>18</v>
      </c>
      <c r="D174" s="7" t="s">
        <v>607</v>
      </c>
      <c r="E174" s="5" t="s">
        <v>9</v>
      </c>
      <c r="F174" s="5" t="s">
        <v>19</v>
      </c>
      <c r="G174" s="5" t="s">
        <v>9</v>
      </c>
      <c r="H174" s="5" t="s">
        <v>14</v>
      </c>
      <c r="I174" s="8" cm="1">
        <f t="array" ref="I174">_xlfn.XLOOKUP(C174,$S$9:$S$11,_xlfn.XLOOKUP(F174,$T$8:$V$8,$T$9:$V$11))</f>
        <v>139.9</v>
      </c>
      <c r="J174" s="7" t="str">
        <f t="shared" si="2"/>
        <v>Somente Ubisoft</v>
      </c>
    </row>
    <row r="175" spans="1:10">
      <c r="A175" s="5" t="s">
        <v>468</v>
      </c>
      <c r="B175" s="6" t="s">
        <v>191</v>
      </c>
      <c r="C175" s="5" t="s">
        <v>8</v>
      </c>
      <c r="D175" s="7" t="s">
        <v>730</v>
      </c>
      <c r="E175" s="5" t="s">
        <v>9</v>
      </c>
      <c r="F175" s="5" t="s">
        <v>15</v>
      </c>
      <c r="G175" s="5" t="s">
        <v>9</v>
      </c>
      <c r="H175" s="5" t="s">
        <v>9</v>
      </c>
      <c r="I175" s="8" cm="1">
        <f t="array" ref="I175">_xlfn.XLOOKUP(C175,$S$9:$S$11,_xlfn.XLOOKUP(F175,$T$8:$V$8,$T$9:$V$11))</f>
        <v>59.9</v>
      </c>
      <c r="J175" s="7" t="str">
        <f t="shared" si="2"/>
        <v>Fortnite + Ubisoft</v>
      </c>
    </row>
    <row r="176" spans="1:10">
      <c r="A176" s="5" t="s">
        <v>469</v>
      </c>
      <c r="B176" s="6" t="s">
        <v>192</v>
      </c>
      <c r="C176" s="5" t="s">
        <v>13</v>
      </c>
      <c r="D176" s="7" t="s">
        <v>731</v>
      </c>
      <c r="E176" s="5" t="s">
        <v>14</v>
      </c>
      <c r="F176" s="5" t="s">
        <v>10</v>
      </c>
      <c r="G176" s="5" t="s">
        <v>14</v>
      </c>
      <c r="H176" s="5" t="s">
        <v>9</v>
      </c>
      <c r="I176" s="8" cm="1">
        <f t="array" ref="I176">_xlfn.XLOOKUP(C176,$S$9:$S$11,_xlfn.XLOOKUP(F176,$T$8:$V$8,$T$9:$V$11))</f>
        <v>278.89999999999998</v>
      </c>
      <c r="J176" s="7" t="str">
        <f t="shared" si="2"/>
        <v>Somente Fortnite</v>
      </c>
    </row>
    <row r="177" spans="1:10">
      <c r="A177" s="5" t="s">
        <v>470</v>
      </c>
      <c r="B177" s="6" t="s">
        <v>193</v>
      </c>
      <c r="C177" s="5" t="s">
        <v>8</v>
      </c>
      <c r="D177" s="7" t="s">
        <v>732</v>
      </c>
      <c r="E177" s="5" t="s">
        <v>14</v>
      </c>
      <c r="F177" s="5" t="s">
        <v>10</v>
      </c>
      <c r="G177" s="5" t="s">
        <v>9</v>
      </c>
      <c r="H177" s="5" t="s">
        <v>9</v>
      </c>
      <c r="I177" s="8" cm="1">
        <f t="array" ref="I177">_xlfn.XLOOKUP(C177,$S$9:$S$11,_xlfn.XLOOKUP(F177,$T$8:$V$8,$T$9:$V$11))</f>
        <v>538.9</v>
      </c>
      <c r="J177" s="7" t="str">
        <f t="shared" si="2"/>
        <v>Fortnite + Ubisoft</v>
      </c>
    </row>
    <row r="178" spans="1:10">
      <c r="A178" s="5" t="s">
        <v>471</v>
      </c>
      <c r="B178" s="6" t="s">
        <v>194</v>
      </c>
      <c r="C178" s="5" t="s">
        <v>13</v>
      </c>
      <c r="D178" s="7" t="s">
        <v>622</v>
      </c>
      <c r="E178" s="5" t="s">
        <v>14</v>
      </c>
      <c r="F178" s="5" t="s">
        <v>15</v>
      </c>
      <c r="G178" s="5" t="s">
        <v>14</v>
      </c>
      <c r="H178" s="5" t="s">
        <v>14</v>
      </c>
      <c r="I178" s="8" cm="1">
        <f t="array" ref="I178">_xlfn.XLOOKUP(C178,$S$9:$S$11,_xlfn.XLOOKUP(F178,$T$8:$V$8,$T$9:$V$11))</f>
        <v>34.9</v>
      </c>
      <c r="J178" s="7" t="str">
        <f t="shared" si="2"/>
        <v>Nenhum Add-on</v>
      </c>
    </row>
    <row r="179" spans="1:10">
      <c r="A179" s="5" t="s">
        <v>472</v>
      </c>
      <c r="B179" s="6" t="s">
        <v>195</v>
      </c>
      <c r="C179" s="5" t="s">
        <v>18</v>
      </c>
      <c r="D179" s="7" t="s">
        <v>601</v>
      </c>
      <c r="E179" s="5" t="s">
        <v>9</v>
      </c>
      <c r="F179" s="5" t="s">
        <v>19</v>
      </c>
      <c r="G179" s="5" t="s">
        <v>9</v>
      </c>
      <c r="H179" s="5" t="s">
        <v>14</v>
      </c>
      <c r="I179" s="8" cm="1">
        <f t="array" ref="I179">_xlfn.XLOOKUP(C179,$S$9:$S$11,_xlfn.XLOOKUP(F179,$T$8:$V$8,$T$9:$V$11))</f>
        <v>139.9</v>
      </c>
      <c r="J179" s="7" t="str">
        <f t="shared" si="2"/>
        <v>Somente Ubisoft</v>
      </c>
    </row>
    <row r="180" spans="1:10">
      <c r="A180" s="5" t="s">
        <v>473</v>
      </c>
      <c r="B180" s="6" t="s">
        <v>196</v>
      </c>
      <c r="C180" s="5" t="s">
        <v>8</v>
      </c>
      <c r="D180" s="7" t="s">
        <v>733</v>
      </c>
      <c r="E180" s="5" t="s">
        <v>9</v>
      </c>
      <c r="F180" s="5" t="s">
        <v>15</v>
      </c>
      <c r="G180" s="5" t="s">
        <v>9</v>
      </c>
      <c r="H180" s="5" t="s">
        <v>9</v>
      </c>
      <c r="I180" s="8" cm="1">
        <f t="array" ref="I180">_xlfn.XLOOKUP(C180,$S$9:$S$11,_xlfn.XLOOKUP(F180,$T$8:$V$8,$T$9:$V$11))</f>
        <v>59.9</v>
      </c>
      <c r="J180" s="7" t="str">
        <f t="shared" si="2"/>
        <v>Fortnite + Ubisoft</v>
      </c>
    </row>
    <row r="181" spans="1:10">
      <c r="A181" s="5" t="s">
        <v>474</v>
      </c>
      <c r="B181" s="6" t="s">
        <v>197</v>
      </c>
      <c r="C181" s="5" t="s">
        <v>13</v>
      </c>
      <c r="D181" s="7" t="s">
        <v>734</v>
      </c>
      <c r="E181" s="5" t="s">
        <v>14</v>
      </c>
      <c r="F181" s="5" t="s">
        <v>10</v>
      </c>
      <c r="G181" s="5" t="s">
        <v>14</v>
      </c>
      <c r="H181" s="5" t="s">
        <v>9</v>
      </c>
      <c r="I181" s="8" cm="1">
        <f t="array" ref="I181">_xlfn.XLOOKUP(C181,$S$9:$S$11,_xlfn.XLOOKUP(F181,$T$8:$V$8,$T$9:$V$11))</f>
        <v>278.89999999999998</v>
      </c>
      <c r="J181" s="7" t="str">
        <f t="shared" si="2"/>
        <v>Somente Fortnite</v>
      </c>
    </row>
    <row r="182" spans="1:10">
      <c r="A182" s="5" t="s">
        <v>475</v>
      </c>
      <c r="B182" s="6" t="s">
        <v>198</v>
      </c>
      <c r="C182" s="5" t="s">
        <v>8</v>
      </c>
      <c r="D182" s="7" t="s">
        <v>735</v>
      </c>
      <c r="E182" s="5" t="s">
        <v>9</v>
      </c>
      <c r="F182" s="5" t="s">
        <v>10</v>
      </c>
      <c r="G182" s="5" t="s">
        <v>9</v>
      </c>
      <c r="H182" s="5" t="s">
        <v>9</v>
      </c>
      <c r="I182" s="8" cm="1">
        <f t="array" ref="I182">_xlfn.XLOOKUP(C182,$S$9:$S$11,_xlfn.XLOOKUP(F182,$T$8:$V$8,$T$9:$V$11))</f>
        <v>538.9</v>
      </c>
      <c r="J182" s="7" t="str">
        <f t="shared" si="2"/>
        <v>Fortnite + Ubisoft</v>
      </c>
    </row>
    <row r="183" spans="1:10">
      <c r="A183" s="5" t="s">
        <v>476</v>
      </c>
      <c r="B183" s="6" t="s">
        <v>199</v>
      </c>
      <c r="C183" s="5" t="s">
        <v>13</v>
      </c>
      <c r="D183" s="7" t="s">
        <v>736</v>
      </c>
      <c r="E183" s="5" t="s">
        <v>14</v>
      </c>
      <c r="F183" s="5" t="s">
        <v>15</v>
      </c>
      <c r="G183" s="5" t="s">
        <v>14</v>
      </c>
      <c r="H183" s="5" t="s">
        <v>14</v>
      </c>
      <c r="I183" s="8" cm="1">
        <f t="array" ref="I183">_xlfn.XLOOKUP(C183,$S$9:$S$11,_xlfn.XLOOKUP(F183,$T$8:$V$8,$T$9:$V$11))</f>
        <v>34.9</v>
      </c>
      <c r="J183" s="7" t="str">
        <f t="shared" si="2"/>
        <v>Nenhum Add-on</v>
      </c>
    </row>
    <row r="184" spans="1:10">
      <c r="A184" s="5" t="s">
        <v>477</v>
      </c>
      <c r="B184" s="6" t="s">
        <v>200</v>
      </c>
      <c r="C184" s="5" t="s">
        <v>18</v>
      </c>
      <c r="D184" s="7" t="s">
        <v>630</v>
      </c>
      <c r="E184" s="5" t="s">
        <v>9</v>
      </c>
      <c r="F184" s="5" t="s">
        <v>19</v>
      </c>
      <c r="G184" s="5" t="s">
        <v>9</v>
      </c>
      <c r="H184" s="5" t="s">
        <v>14</v>
      </c>
      <c r="I184" s="8" cm="1">
        <f t="array" ref="I184">_xlfn.XLOOKUP(C184,$S$9:$S$11,_xlfn.XLOOKUP(F184,$T$8:$V$8,$T$9:$V$11))</f>
        <v>139.9</v>
      </c>
      <c r="J184" s="7" t="str">
        <f t="shared" si="2"/>
        <v>Somente Ubisoft</v>
      </c>
    </row>
    <row r="185" spans="1:10">
      <c r="A185" s="5" t="s">
        <v>478</v>
      </c>
      <c r="B185" s="6" t="s">
        <v>201</v>
      </c>
      <c r="C185" s="5" t="s">
        <v>8</v>
      </c>
      <c r="D185" s="7" t="s">
        <v>737</v>
      </c>
      <c r="E185" s="5" t="s">
        <v>9</v>
      </c>
      <c r="F185" s="5" t="s">
        <v>15</v>
      </c>
      <c r="G185" s="5" t="s">
        <v>9</v>
      </c>
      <c r="H185" s="5" t="s">
        <v>9</v>
      </c>
      <c r="I185" s="8" cm="1">
        <f t="array" ref="I185">_xlfn.XLOOKUP(C185,$S$9:$S$11,_xlfn.XLOOKUP(F185,$T$8:$V$8,$T$9:$V$11))</f>
        <v>59.9</v>
      </c>
      <c r="J185" s="7" t="str">
        <f t="shared" si="2"/>
        <v>Fortnite + Ubisoft</v>
      </c>
    </row>
    <row r="186" spans="1:10">
      <c r="A186" s="5" t="s">
        <v>479</v>
      </c>
      <c r="B186" s="6" t="s">
        <v>202</v>
      </c>
      <c r="C186" s="5" t="s">
        <v>13</v>
      </c>
      <c r="D186" s="7" t="s">
        <v>738</v>
      </c>
      <c r="E186" s="5" t="s">
        <v>9</v>
      </c>
      <c r="F186" s="5" t="s">
        <v>10</v>
      </c>
      <c r="G186" s="5" t="s">
        <v>14</v>
      </c>
      <c r="H186" s="5" t="s">
        <v>9</v>
      </c>
      <c r="I186" s="8" cm="1">
        <f t="array" ref="I186">_xlfn.XLOOKUP(C186,$S$9:$S$11,_xlfn.XLOOKUP(F186,$T$8:$V$8,$T$9:$V$11))</f>
        <v>278.89999999999998</v>
      </c>
      <c r="J186" s="7" t="str">
        <f t="shared" si="2"/>
        <v>Somente Fortnite</v>
      </c>
    </row>
    <row r="187" spans="1:10">
      <c r="A187" s="5" t="s">
        <v>480</v>
      </c>
      <c r="B187" s="6" t="s">
        <v>203</v>
      </c>
      <c r="C187" s="5" t="s">
        <v>8</v>
      </c>
      <c r="D187" s="7" t="s">
        <v>628</v>
      </c>
      <c r="E187" s="5" t="s">
        <v>9</v>
      </c>
      <c r="F187" s="5" t="s">
        <v>10</v>
      </c>
      <c r="G187" s="5" t="s">
        <v>9</v>
      </c>
      <c r="H187" s="5" t="s">
        <v>9</v>
      </c>
      <c r="I187" s="8" cm="1">
        <f t="array" ref="I187">_xlfn.XLOOKUP(C187,$S$9:$S$11,_xlfn.XLOOKUP(F187,$T$8:$V$8,$T$9:$V$11))</f>
        <v>538.9</v>
      </c>
      <c r="J187" s="7" t="str">
        <f t="shared" si="2"/>
        <v>Fortnite + Ubisoft</v>
      </c>
    </row>
    <row r="188" spans="1:10">
      <c r="A188" s="5" t="s">
        <v>481</v>
      </c>
      <c r="B188" s="6" t="s">
        <v>204</v>
      </c>
      <c r="C188" s="5" t="s">
        <v>13</v>
      </c>
      <c r="D188" s="7" t="s">
        <v>739</v>
      </c>
      <c r="E188" s="5" t="s">
        <v>14</v>
      </c>
      <c r="F188" s="5" t="s">
        <v>15</v>
      </c>
      <c r="G188" s="5" t="s">
        <v>14</v>
      </c>
      <c r="H188" s="5" t="s">
        <v>14</v>
      </c>
      <c r="I188" s="8" cm="1">
        <f t="array" ref="I188">_xlfn.XLOOKUP(C188,$S$9:$S$11,_xlfn.XLOOKUP(F188,$T$8:$V$8,$T$9:$V$11))</f>
        <v>34.9</v>
      </c>
      <c r="J188" s="7" t="str">
        <f t="shared" si="2"/>
        <v>Nenhum Add-on</v>
      </c>
    </row>
    <row r="189" spans="1:10">
      <c r="A189" s="5" t="s">
        <v>482</v>
      </c>
      <c r="B189" s="6" t="s">
        <v>205</v>
      </c>
      <c r="C189" s="5" t="s">
        <v>18</v>
      </c>
      <c r="D189" s="7" t="s">
        <v>730</v>
      </c>
      <c r="E189" s="5" t="s">
        <v>9</v>
      </c>
      <c r="F189" s="5" t="s">
        <v>19</v>
      </c>
      <c r="G189" s="5" t="s">
        <v>9</v>
      </c>
      <c r="H189" s="5" t="s">
        <v>14</v>
      </c>
      <c r="I189" s="8" cm="1">
        <f t="array" ref="I189">_xlfn.XLOOKUP(C189,$S$9:$S$11,_xlfn.XLOOKUP(F189,$T$8:$V$8,$T$9:$V$11))</f>
        <v>139.9</v>
      </c>
      <c r="J189" s="7" t="str">
        <f t="shared" si="2"/>
        <v>Somente Ubisoft</v>
      </c>
    </row>
    <row r="190" spans="1:10">
      <c r="A190" s="5" t="s">
        <v>483</v>
      </c>
      <c r="B190" s="6" t="s">
        <v>206</v>
      </c>
      <c r="C190" s="5" t="s">
        <v>8</v>
      </c>
      <c r="D190" s="7" t="s">
        <v>628</v>
      </c>
      <c r="E190" s="5" t="s">
        <v>14</v>
      </c>
      <c r="F190" s="5" t="s">
        <v>15</v>
      </c>
      <c r="G190" s="5" t="s">
        <v>9</v>
      </c>
      <c r="H190" s="5" t="s">
        <v>9</v>
      </c>
      <c r="I190" s="8" cm="1">
        <f t="array" ref="I190">_xlfn.XLOOKUP(C190,$S$9:$S$11,_xlfn.XLOOKUP(F190,$T$8:$V$8,$T$9:$V$11))</f>
        <v>59.9</v>
      </c>
      <c r="J190" s="7" t="str">
        <f t="shared" si="2"/>
        <v>Fortnite + Ubisoft</v>
      </c>
    </row>
    <row r="191" spans="1:10">
      <c r="A191" s="5" t="s">
        <v>484</v>
      </c>
      <c r="B191" s="6" t="s">
        <v>12</v>
      </c>
      <c r="C191" s="5" t="s">
        <v>13</v>
      </c>
      <c r="D191" s="7" t="s">
        <v>740</v>
      </c>
      <c r="E191" s="5" t="s">
        <v>14</v>
      </c>
      <c r="F191" s="5" t="s">
        <v>10</v>
      </c>
      <c r="G191" s="5" t="s">
        <v>14</v>
      </c>
      <c r="H191" s="5" t="s">
        <v>9</v>
      </c>
      <c r="I191" s="8" cm="1">
        <f t="array" ref="I191">_xlfn.XLOOKUP(C191,$S$9:$S$11,_xlfn.XLOOKUP(F191,$T$8:$V$8,$T$9:$V$11))</f>
        <v>278.89999999999998</v>
      </c>
      <c r="J191" s="7" t="str">
        <f t="shared" si="2"/>
        <v>Somente Fortnite</v>
      </c>
    </row>
    <row r="192" spans="1:10">
      <c r="A192" s="5" t="s">
        <v>485</v>
      </c>
      <c r="B192" s="6" t="s">
        <v>37</v>
      </c>
      <c r="C192" s="5" t="s">
        <v>8</v>
      </c>
      <c r="D192" s="7" t="s">
        <v>694</v>
      </c>
      <c r="E192" s="5" t="s">
        <v>9</v>
      </c>
      <c r="F192" s="5" t="s">
        <v>10</v>
      </c>
      <c r="G192" s="5" t="s">
        <v>9</v>
      </c>
      <c r="H192" s="5" t="s">
        <v>9</v>
      </c>
      <c r="I192" s="8" cm="1">
        <f t="array" ref="I192">_xlfn.XLOOKUP(C192,$S$9:$S$11,_xlfn.XLOOKUP(F192,$T$8:$V$8,$T$9:$V$11))</f>
        <v>538.9</v>
      </c>
      <c r="J192" s="7" t="str">
        <f t="shared" si="2"/>
        <v>Fortnite + Ubisoft</v>
      </c>
    </row>
    <row r="193" spans="1:10">
      <c r="A193" s="5" t="s">
        <v>486</v>
      </c>
      <c r="B193" s="6" t="s">
        <v>207</v>
      </c>
      <c r="C193" s="5" t="s">
        <v>13</v>
      </c>
      <c r="D193" s="7" t="s">
        <v>606</v>
      </c>
      <c r="E193" s="5" t="s">
        <v>14</v>
      </c>
      <c r="F193" s="5" t="s">
        <v>15</v>
      </c>
      <c r="G193" s="5" t="s">
        <v>14</v>
      </c>
      <c r="H193" s="5" t="s">
        <v>14</v>
      </c>
      <c r="I193" s="8" cm="1">
        <f t="array" ref="I193">_xlfn.XLOOKUP(C193,$S$9:$S$11,_xlfn.XLOOKUP(F193,$T$8:$V$8,$T$9:$V$11))</f>
        <v>34.9</v>
      </c>
      <c r="J193" s="7" t="str">
        <f t="shared" si="2"/>
        <v>Nenhum Add-on</v>
      </c>
    </row>
    <row r="194" spans="1:10">
      <c r="A194" s="5" t="s">
        <v>487</v>
      </c>
      <c r="B194" s="6" t="s">
        <v>208</v>
      </c>
      <c r="C194" s="5" t="s">
        <v>18</v>
      </c>
      <c r="D194" s="7" t="s">
        <v>741</v>
      </c>
      <c r="E194" s="5" t="s">
        <v>9</v>
      </c>
      <c r="F194" s="5" t="s">
        <v>19</v>
      </c>
      <c r="G194" s="5" t="s">
        <v>9</v>
      </c>
      <c r="H194" s="5" t="s">
        <v>14</v>
      </c>
      <c r="I194" s="8" cm="1">
        <f t="array" ref="I194">_xlfn.XLOOKUP(C194,$S$9:$S$11,_xlfn.XLOOKUP(F194,$T$8:$V$8,$T$9:$V$11))</f>
        <v>139.9</v>
      </c>
      <c r="J194" s="7" t="str">
        <f t="shared" si="2"/>
        <v>Somente Ubisoft</v>
      </c>
    </row>
    <row r="195" spans="1:10">
      <c r="A195" s="5" t="s">
        <v>488</v>
      </c>
      <c r="B195" s="6" t="s">
        <v>36</v>
      </c>
      <c r="C195" s="5" t="s">
        <v>8</v>
      </c>
      <c r="D195" s="7" t="s">
        <v>742</v>
      </c>
      <c r="E195" s="5" t="s">
        <v>9</v>
      </c>
      <c r="F195" s="5" t="s">
        <v>15</v>
      </c>
      <c r="G195" s="5" t="s">
        <v>9</v>
      </c>
      <c r="H195" s="5" t="s">
        <v>9</v>
      </c>
      <c r="I195" s="8" cm="1">
        <f t="array" ref="I195">_xlfn.XLOOKUP(C195,$S$9:$S$11,_xlfn.XLOOKUP(F195,$T$8:$V$8,$T$9:$V$11))</f>
        <v>59.9</v>
      </c>
      <c r="J195" s="7" t="str">
        <f t="shared" ref="J195:J258" si="3">IF(AND(G195="Sim",H195="Sim"),"Fortnite + Ubisoft",
IF(AND(G195="Sim",H195="Não"),"Somente Ubisoft",
IF(AND(G195="Não",H195="Sim"),"Somente Fortnite",
"Nenhum Add-on")))</f>
        <v>Fortnite + Ubisoft</v>
      </c>
    </row>
    <row r="196" spans="1:10">
      <c r="A196" s="5" t="s">
        <v>489</v>
      </c>
      <c r="B196" s="6" t="s">
        <v>209</v>
      </c>
      <c r="C196" s="5" t="s">
        <v>13</v>
      </c>
      <c r="D196" s="7" t="s">
        <v>743</v>
      </c>
      <c r="E196" s="5" t="s">
        <v>9</v>
      </c>
      <c r="F196" s="5" t="s">
        <v>10</v>
      </c>
      <c r="G196" s="5" t="s">
        <v>14</v>
      </c>
      <c r="H196" s="5" t="s">
        <v>9</v>
      </c>
      <c r="I196" s="8" cm="1">
        <f t="array" ref="I196">_xlfn.XLOOKUP(C196,$S$9:$S$11,_xlfn.XLOOKUP(F196,$T$8:$V$8,$T$9:$V$11))</f>
        <v>278.89999999999998</v>
      </c>
      <c r="J196" s="7" t="str">
        <f t="shared" si="3"/>
        <v>Somente Fortnite</v>
      </c>
    </row>
    <row r="197" spans="1:10">
      <c r="A197" s="5" t="s">
        <v>490</v>
      </c>
      <c r="B197" s="6" t="s">
        <v>188</v>
      </c>
      <c r="C197" s="5" t="s">
        <v>8</v>
      </c>
      <c r="D197" s="7" t="s">
        <v>700</v>
      </c>
      <c r="E197" s="5" t="s">
        <v>14</v>
      </c>
      <c r="F197" s="5" t="s">
        <v>10</v>
      </c>
      <c r="G197" s="5" t="s">
        <v>9</v>
      </c>
      <c r="H197" s="5" t="s">
        <v>9</v>
      </c>
      <c r="I197" s="8" cm="1">
        <f t="array" ref="I197">_xlfn.XLOOKUP(C197,$S$9:$S$11,_xlfn.XLOOKUP(F197,$T$8:$V$8,$T$9:$V$11))</f>
        <v>538.9</v>
      </c>
      <c r="J197" s="7" t="str">
        <f t="shared" si="3"/>
        <v>Fortnite + Ubisoft</v>
      </c>
    </row>
    <row r="198" spans="1:10">
      <c r="A198" s="5" t="s">
        <v>491</v>
      </c>
      <c r="B198" s="6" t="s">
        <v>210</v>
      </c>
      <c r="C198" s="5" t="s">
        <v>13</v>
      </c>
      <c r="D198" s="7" t="s">
        <v>744</v>
      </c>
      <c r="E198" s="5" t="s">
        <v>14</v>
      </c>
      <c r="F198" s="5" t="s">
        <v>15</v>
      </c>
      <c r="G198" s="5" t="s">
        <v>14</v>
      </c>
      <c r="H198" s="5" t="s">
        <v>14</v>
      </c>
      <c r="I198" s="8" cm="1">
        <f t="array" ref="I198">_xlfn.XLOOKUP(C198,$S$9:$S$11,_xlfn.XLOOKUP(F198,$T$8:$V$8,$T$9:$V$11))</f>
        <v>34.9</v>
      </c>
      <c r="J198" s="7" t="str">
        <f t="shared" si="3"/>
        <v>Nenhum Add-on</v>
      </c>
    </row>
    <row r="199" spans="1:10">
      <c r="A199" s="5" t="s">
        <v>492</v>
      </c>
      <c r="B199" s="6" t="s">
        <v>211</v>
      </c>
      <c r="C199" s="5" t="s">
        <v>18</v>
      </c>
      <c r="D199" s="7" t="s">
        <v>677</v>
      </c>
      <c r="E199" s="5" t="s">
        <v>9</v>
      </c>
      <c r="F199" s="5" t="s">
        <v>19</v>
      </c>
      <c r="G199" s="5" t="s">
        <v>9</v>
      </c>
      <c r="H199" s="5" t="s">
        <v>14</v>
      </c>
      <c r="I199" s="8" cm="1">
        <f t="array" ref="I199">_xlfn.XLOOKUP(C199,$S$9:$S$11,_xlfn.XLOOKUP(F199,$T$8:$V$8,$T$9:$V$11))</f>
        <v>139.9</v>
      </c>
      <c r="J199" s="7" t="str">
        <f t="shared" si="3"/>
        <v>Somente Ubisoft</v>
      </c>
    </row>
    <row r="200" spans="1:10">
      <c r="A200" s="5" t="s">
        <v>493</v>
      </c>
      <c r="B200" s="6" t="s">
        <v>212</v>
      </c>
      <c r="C200" s="5" t="s">
        <v>8</v>
      </c>
      <c r="D200" s="7" t="s">
        <v>745</v>
      </c>
      <c r="E200" s="5" t="s">
        <v>9</v>
      </c>
      <c r="F200" s="5" t="s">
        <v>15</v>
      </c>
      <c r="G200" s="5" t="s">
        <v>9</v>
      </c>
      <c r="H200" s="5" t="s">
        <v>9</v>
      </c>
      <c r="I200" s="8" cm="1">
        <f t="array" ref="I200">_xlfn.XLOOKUP(C200,$S$9:$S$11,_xlfn.XLOOKUP(F200,$T$8:$V$8,$T$9:$V$11))</f>
        <v>59.9</v>
      </c>
      <c r="J200" s="7" t="str">
        <f t="shared" si="3"/>
        <v>Fortnite + Ubisoft</v>
      </c>
    </row>
    <row r="201" spans="1:10">
      <c r="A201" s="5" t="s">
        <v>494</v>
      </c>
      <c r="B201" s="6" t="s">
        <v>213</v>
      </c>
      <c r="C201" s="5" t="s">
        <v>13</v>
      </c>
      <c r="D201" s="7" t="s">
        <v>746</v>
      </c>
      <c r="E201" s="5" t="s">
        <v>14</v>
      </c>
      <c r="F201" s="5" t="s">
        <v>10</v>
      </c>
      <c r="G201" s="5" t="s">
        <v>14</v>
      </c>
      <c r="H201" s="5" t="s">
        <v>9</v>
      </c>
      <c r="I201" s="8" cm="1">
        <f t="array" ref="I201">_xlfn.XLOOKUP(C201,$S$9:$S$11,_xlfn.XLOOKUP(F201,$T$8:$V$8,$T$9:$V$11))</f>
        <v>278.89999999999998</v>
      </c>
      <c r="J201" s="7" t="str">
        <f t="shared" si="3"/>
        <v>Somente Fortnite</v>
      </c>
    </row>
    <row r="202" spans="1:10">
      <c r="A202" s="5" t="s">
        <v>495</v>
      </c>
      <c r="B202" s="6" t="s">
        <v>214</v>
      </c>
      <c r="C202" s="5" t="s">
        <v>8</v>
      </c>
      <c r="D202" s="7" t="s">
        <v>747</v>
      </c>
      <c r="E202" s="5" t="s">
        <v>9</v>
      </c>
      <c r="F202" s="5" t="s">
        <v>10</v>
      </c>
      <c r="G202" s="5" t="s">
        <v>9</v>
      </c>
      <c r="H202" s="5" t="s">
        <v>9</v>
      </c>
      <c r="I202" s="8" cm="1">
        <f t="array" ref="I202">_xlfn.XLOOKUP(C202,$S$9:$S$11,_xlfn.XLOOKUP(F202,$T$8:$V$8,$T$9:$V$11))</f>
        <v>538.9</v>
      </c>
      <c r="J202" s="7" t="str">
        <f t="shared" si="3"/>
        <v>Fortnite + Ubisoft</v>
      </c>
    </row>
    <row r="203" spans="1:10">
      <c r="A203" s="5" t="s">
        <v>496</v>
      </c>
      <c r="B203" s="6" t="s">
        <v>215</v>
      </c>
      <c r="C203" s="5" t="s">
        <v>13</v>
      </c>
      <c r="D203" s="7" t="s">
        <v>748</v>
      </c>
      <c r="E203" s="5" t="s">
        <v>14</v>
      </c>
      <c r="F203" s="5" t="s">
        <v>15</v>
      </c>
      <c r="G203" s="5" t="s">
        <v>14</v>
      </c>
      <c r="H203" s="5" t="s">
        <v>14</v>
      </c>
      <c r="I203" s="8" cm="1">
        <f t="array" ref="I203">_xlfn.XLOOKUP(C203,$S$9:$S$11,_xlfn.XLOOKUP(F203,$T$8:$V$8,$T$9:$V$11))</f>
        <v>34.9</v>
      </c>
      <c r="J203" s="7" t="str">
        <f t="shared" si="3"/>
        <v>Nenhum Add-on</v>
      </c>
    </row>
    <row r="204" spans="1:10">
      <c r="A204" s="5" t="s">
        <v>497</v>
      </c>
      <c r="B204" s="6" t="s">
        <v>216</v>
      </c>
      <c r="C204" s="5" t="s">
        <v>18</v>
      </c>
      <c r="D204" s="7" t="s">
        <v>749</v>
      </c>
      <c r="E204" s="5" t="s">
        <v>9</v>
      </c>
      <c r="F204" s="5" t="s">
        <v>19</v>
      </c>
      <c r="G204" s="5" t="s">
        <v>9</v>
      </c>
      <c r="H204" s="5" t="s">
        <v>14</v>
      </c>
      <c r="I204" s="8" cm="1">
        <f t="array" ref="I204">_xlfn.XLOOKUP(C204,$S$9:$S$11,_xlfn.XLOOKUP(F204,$T$8:$V$8,$T$9:$V$11))</f>
        <v>139.9</v>
      </c>
      <c r="J204" s="7" t="str">
        <f t="shared" si="3"/>
        <v>Somente Ubisoft</v>
      </c>
    </row>
    <row r="205" spans="1:10">
      <c r="A205" s="5" t="s">
        <v>498</v>
      </c>
      <c r="B205" s="6" t="s">
        <v>217</v>
      </c>
      <c r="C205" s="5" t="s">
        <v>8</v>
      </c>
      <c r="D205" s="7" t="s">
        <v>664</v>
      </c>
      <c r="E205" s="5" t="s">
        <v>9</v>
      </c>
      <c r="F205" s="5" t="s">
        <v>15</v>
      </c>
      <c r="G205" s="5" t="s">
        <v>9</v>
      </c>
      <c r="H205" s="5" t="s">
        <v>9</v>
      </c>
      <c r="I205" s="8" cm="1">
        <f t="array" ref="I205">_xlfn.XLOOKUP(C205,$S$9:$S$11,_xlfn.XLOOKUP(F205,$T$8:$V$8,$T$9:$V$11))</f>
        <v>59.9</v>
      </c>
      <c r="J205" s="7" t="str">
        <f t="shared" si="3"/>
        <v>Fortnite + Ubisoft</v>
      </c>
    </row>
    <row r="206" spans="1:10">
      <c r="A206" s="5" t="s">
        <v>499</v>
      </c>
      <c r="B206" s="6" t="s">
        <v>218</v>
      </c>
      <c r="C206" s="5" t="s">
        <v>13</v>
      </c>
      <c r="D206" s="7" t="s">
        <v>750</v>
      </c>
      <c r="E206" s="5" t="s">
        <v>14</v>
      </c>
      <c r="F206" s="5" t="s">
        <v>10</v>
      </c>
      <c r="G206" s="5" t="s">
        <v>14</v>
      </c>
      <c r="H206" s="5" t="s">
        <v>9</v>
      </c>
      <c r="I206" s="8" cm="1">
        <f t="array" ref="I206">_xlfn.XLOOKUP(C206,$S$9:$S$11,_xlfn.XLOOKUP(F206,$T$8:$V$8,$T$9:$V$11))</f>
        <v>278.89999999999998</v>
      </c>
      <c r="J206" s="7" t="str">
        <f t="shared" si="3"/>
        <v>Somente Fortnite</v>
      </c>
    </row>
    <row r="207" spans="1:10">
      <c r="A207" s="5" t="s">
        <v>500</v>
      </c>
      <c r="B207" s="6" t="s">
        <v>219</v>
      </c>
      <c r="C207" s="5" t="s">
        <v>8</v>
      </c>
      <c r="D207" s="7" t="s">
        <v>751</v>
      </c>
      <c r="E207" s="5" t="s">
        <v>9</v>
      </c>
      <c r="F207" s="5" t="s">
        <v>10</v>
      </c>
      <c r="G207" s="5" t="s">
        <v>9</v>
      </c>
      <c r="H207" s="5" t="s">
        <v>9</v>
      </c>
      <c r="I207" s="8" cm="1">
        <f t="array" ref="I207">_xlfn.XLOOKUP(C207,$S$9:$S$11,_xlfn.XLOOKUP(F207,$T$8:$V$8,$T$9:$V$11))</f>
        <v>538.9</v>
      </c>
      <c r="J207" s="7" t="str">
        <f t="shared" si="3"/>
        <v>Fortnite + Ubisoft</v>
      </c>
    </row>
    <row r="208" spans="1:10">
      <c r="A208" s="5" t="s">
        <v>501</v>
      </c>
      <c r="B208" s="6" t="s">
        <v>220</v>
      </c>
      <c r="C208" s="5" t="s">
        <v>13</v>
      </c>
      <c r="D208" s="7" t="s">
        <v>752</v>
      </c>
      <c r="E208" s="5" t="s">
        <v>9</v>
      </c>
      <c r="F208" s="5" t="s">
        <v>15</v>
      </c>
      <c r="G208" s="5" t="s">
        <v>14</v>
      </c>
      <c r="H208" s="5" t="s">
        <v>14</v>
      </c>
      <c r="I208" s="8" cm="1">
        <f t="array" ref="I208">_xlfn.XLOOKUP(C208,$S$9:$S$11,_xlfn.XLOOKUP(F208,$T$8:$V$8,$T$9:$V$11))</f>
        <v>34.9</v>
      </c>
      <c r="J208" s="7" t="str">
        <f t="shared" si="3"/>
        <v>Nenhum Add-on</v>
      </c>
    </row>
    <row r="209" spans="1:10">
      <c r="A209" s="5" t="s">
        <v>502</v>
      </c>
      <c r="B209" s="6" t="s">
        <v>221</v>
      </c>
      <c r="C209" s="5" t="s">
        <v>18</v>
      </c>
      <c r="D209" s="7" t="s">
        <v>734</v>
      </c>
      <c r="E209" s="5" t="s">
        <v>9</v>
      </c>
      <c r="F209" s="5" t="s">
        <v>19</v>
      </c>
      <c r="G209" s="5" t="s">
        <v>9</v>
      </c>
      <c r="H209" s="5" t="s">
        <v>14</v>
      </c>
      <c r="I209" s="8" cm="1">
        <f t="array" ref="I209">_xlfn.XLOOKUP(C209,$S$9:$S$11,_xlfn.XLOOKUP(F209,$T$8:$V$8,$T$9:$V$11))</f>
        <v>139.9</v>
      </c>
      <c r="J209" s="7" t="str">
        <f t="shared" si="3"/>
        <v>Somente Ubisoft</v>
      </c>
    </row>
    <row r="210" spans="1:10">
      <c r="A210" s="5" t="s">
        <v>503</v>
      </c>
      <c r="B210" s="6" t="s">
        <v>222</v>
      </c>
      <c r="C210" s="5" t="s">
        <v>8</v>
      </c>
      <c r="D210" s="7" t="s">
        <v>753</v>
      </c>
      <c r="E210" s="5" t="s">
        <v>14</v>
      </c>
      <c r="F210" s="5" t="s">
        <v>15</v>
      </c>
      <c r="G210" s="5" t="s">
        <v>9</v>
      </c>
      <c r="H210" s="5" t="s">
        <v>9</v>
      </c>
      <c r="I210" s="8" cm="1">
        <f t="array" ref="I210">_xlfn.XLOOKUP(C210,$S$9:$S$11,_xlfn.XLOOKUP(F210,$T$8:$V$8,$T$9:$V$11))</f>
        <v>59.9</v>
      </c>
      <c r="J210" s="7" t="str">
        <f t="shared" si="3"/>
        <v>Fortnite + Ubisoft</v>
      </c>
    </row>
    <row r="211" spans="1:10">
      <c r="A211" s="5" t="s">
        <v>504</v>
      </c>
      <c r="B211" s="6" t="s">
        <v>223</v>
      </c>
      <c r="C211" s="5" t="s">
        <v>13</v>
      </c>
      <c r="D211" s="7" t="s">
        <v>595</v>
      </c>
      <c r="E211" s="5" t="s">
        <v>14</v>
      </c>
      <c r="F211" s="5" t="s">
        <v>10</v>
      </c>
      <c r="G211" s="5" t="s">
        <v>14</v>
      </c>
      <c r="H211" s="5" t="s">
        <v>9</v>
      </c>
      <c r="I211" s="8" cm="1">
        <f t="array" ref="I211">_xlfn.XLOOKUP(C211,$S$9:$S$11,_xlfn.XLOOKUP(F211,$T$8:$V$8,$T$9:$V$11))</f>
        <v>278.89999999999998</v>
      </c>
      <c r="J211" s="7" t="str">
        <f t="shared" si="3"/>
        <v>Somente Fortnite</v>
      </c>
    </row>
    <row r="212" spans="1:10">
      <c r="A212" s="5" t="s">
        <v>505</v>
      </c>
      <c r="B212" s="6" t="s">
        <v>224</v>
      </c>
      <c r="C212" s="5" t="s">
        <v>8</v>
      </c>
      <c r="D212" s="7" t="s">
        <v>733</v>
      </c>
      <c r="E212" s="5" t="s">
        <v>14</v>
      </c>
      <c r="F212" s="5" t="s">
        <v>10</v>
      </c>
      <c r="G212" s="5" t="s">
        <v>9</v>
      </c>
      <c r="H212" s="5" t="s">
        <v>9</v>
      </c>
      <c r="I212" s="8" cm="1">
        <f t="array" ref="I212">_xlfn.XLOOKUP(C212,$S$9:$S$11,_xlfn.XLOOKUP(F212,$T$8:$V$8,$T$9:$V$11))</f>
        <v>538.9</v>
      </c>
      <c r="J212" s="7" t="str">
        <f t="shared" si="3"/>
        <v>Fortnite + Ubisoft</v>
      </c>
    </row>
    <row r="213" spans="1:10">
      <c r="A213" s="5" t="s">
        <v>506</v>
      </c>
      <c r="B213" s="6" t="s">
        <v>225</v>
      </c>
      <c r="C213" s="5" t="s">
        <v>13</v>
      </c>
      <c r="D213" s="7" t="s">
        <v>754</v>
      </c>
      <c r="E213" s="5" t="s">
        <v>14</v>
      </c>
      <c r="F213" s="5" t="s">
        <v>15</v>
      </c>
      <c r="G213" s="5" t="s">
        <v>14</v>
      </c>
      <c r="H213" s="5" t="s">
        <v>14</v>
      </c>
      <c r="I213" s="8" cm="1">
        <f t="array" ref="I213">_xlfn.XLOOKUP(C213,$S$9:$S$11,_xlfn.XLOOKUP(F213,$T$8:$V$8,$T$9:$V$11))</f>
        <v>34.9</v>
      </c>
      <c r="J213" s="7" t="str">
        <f t="shared" si="3"/>
        <v>Nenhum Add-on</v>
      </c>
    </row>
    <row r="214" spans="1:10">
      <c r="A214" s="5" t="s">
        <v>507</v>
      </c>
      <c r="B214" s="6" t="s">
        <v>226</v>
      </c>
      <c r="C214" s="5" t="s">
        <v>18</v>
      </c>
      <c r="D214" s="7" t="s">
        <v>755</v>
      </c>
      <c r="E214" s="5" t="s">
        <v>9</v>
      </c>
      <c r="F214" s="5" t="s">
        <v>19</v>
      </c>
      <c r="G214" s="5" t="s">
        <v>9</v>
      </c>
      <c r="H214" s="5" t="s">
        <v>14</v>
      </c>
      <c r="I214" s="8" cm="1">
        <f t="array" ref="I214">_xlfn.XLOOKUP(C214,$S$9:$S$11,_xlfn.XLOOKUP(F214,$T$8:$V$8,$T$9:$V$11))</f>
        <v>139.9</v>
      </c>
      <c r="J214" s="7" t="str">
        <f t="shared" si="3"/>
        <v>Somente Ubisoft</v>
      </c>
    </row>
    <row r="215" spans="1:10">
      <c r="A215" s="5" t="s">
        <v>508</v>
      </c>
      <c r="B215" s="6" t="s">
        <v>227</v>
      </c>
      <c r="C215" s="5" t="s">
        <v>8</v>
      </c>
      <c r="D215" s="7" t="s">
        <v>748</v>
      </c>
      <c r="E215" s="5" t="s">
        <v>9</v>
      </c>
      <c r="F215" s="5" t="s">
        <v>15</v>
      </c>
      <c r="G215" s="5" t="s">
        <v>9</v>
      </c>
      <c r="H215" s="5" t="s">
        <v>9</v>
      </c>
      <c r="I215" s="8" cm="1">
        <f t="array" ref="I215">_xlfn.XLOOKUP(C215,$S$9:$S$11,_xlfn.XLOOKUP(F215,$T$8:$V$8,$T$9:$V$11))</f>
        <v>59.9</v>
      </c>
      <c r="J215" s="7" t="str">
        <f t="shared" si="3"/>
        <v>Fortnite + Ubisoft</v>
      </c>
    </row>
    <row r="216" spans="1:10">
      <c r="A216" s="5" t="s">
        <v>509</v>
      </c>
      <c r="B216" s="6" t="s">
        <v>59</v>
      </c>
      <c r="C216" s="5" t="s">
        <v>13</v>
      </c>
      <c r="D216" s="7" t="s">
        <v>625</v>
      </c>
      <c r="E216" s="5" t="s">
        <v>14</v>
      </c>
      <c r="F216" s="5" t="s">
        <v>10</v>
      </c>
      <c r="G216" s="5" t="s">
        <v>14</v>
      </c>
      <c r="H216" s="5" t="s">
        <v>9</v>
      </c>
      <c r="I216" s="8" cm="1">
        <f t="array" ref="I216">_xlfn.XLOOKUP(C216,$S$9:$S$11,_xlfn.XLOOKUP(F216,$T$8:$V$8,$T$9:$V$11))</f>
        <v>278.89999999999998</v>
      </c>
      <c r="J216" s="7" t="str">
        <f t="shared" si="3"/>
        <v>Somente Fortnite</v>
      </c>
    </row>
    <row r="217" spans="1:10">
      <c r="A217" s="5" t="s">
        <v>510</v>
      </c>
      <c r="B217" s="6" t="s">
        <v>228</v>
      </c>
      <c r="C217" s="5" t="s">
        <v>8</v>
      </c>
      <c r="D217" s="7" t="s">
        <v>647</v>
      </c>
      <c r="E217" s="5" t="s">
        <v>14</v>
      </c>
      <c r="F217" s="5" t="s">
        <v>10</v>
      </c>
      <c r="G217" s="5" t="s">
        <v>9</v>
      </c>
      <c r="H217" s="5" t="s">
        <v>9</v>
      </c>
      <c r="I217" s="8" cm="1">
        <f t="array" ref="I217">_xlfn.XLOOKUP(C217,$S$9:$S$11,_xlfn.XLOOKUP(F217,$T$8:$V$8,$T$9:$V$11))</f>
        <v>538.9</v>
      </c>
      <c r="J217" s="7" t="str">
        <f t="shared" si="3"/>
        <v>Fortnite + Ubisoft</v>
      </c>
    </row>
    <row r="218" spans="1:10">
      <c r="A218" s="5" t="s">
        <v>511</v>
      </c>
      <c r="B218" s="6" t="s">
        <v>229</v>
      </c>
      <c r="C218" s="5" t="s">
        <v>13</v>
      </c>
      <c r="D218" s="7" t="s">
        <v>756</v>
      </c>
      <c r="E218" s="5" t="s">
        <v>9</v>
      </c>
      <c r="F218" s="5" t="s">
        <v>15</v>
      </c>
      <c r="G218" s="5" t="s">
        <v>14</v>
      </c>
      <c r="H218" s="5" t="s">
        <v>14</v>
      </c>
      <c r="I218" s="8" cm="1">
        <f t="array" ref="I218">_xlfn.XLOOKUP(C218,$S$9:$S$11,_xlfn.XLOOKUP(F218,$T$8:$V$8,$T$9:$V$11))</f>
        <v>34.9</v>
      </c>
      <c r="J218" s="7" t="str">
        <f t="shared" si="3"/>
        <v>Nenhum Add-on</v>
      </c>
    </row>
    <row r="219" spans="1:10">
      <c r="A219" s="5" t="s">
        <v>512</v>
      </c>
      <c r="B219" s="6" t="s">
        <v>230</v>
      </c>
      <c r="C219" s="5" t="s">
        <v>18</v>
      </c>
      <c r="D219" s="7" t="s">
        <v>757</v>
      </c>
      <c r="E219" s="5" t="s">
        <v>9</v>
      </c>
      <c r="F219" s="5" t="s">
        <v>19</v>
      </c>
      <c r="G219" s="5" t="s">
        <v>9</v>
      </c>
      <c r="H219" s="5" t="s">
        <v>14</v>
      </c>
      <c r="I219" s="8" cm="1">
        <f t="array" ref="I219">_xlfn.XLOOKUP(C219,$S$9:$S$11,_xlfn.XLOOKUP(F219,$T$8:$V$8,$T$9:$V$11))</f>
        <v>139.9</v>
      </c>
      <c r="J219" s="7" t="str">
        <f t="shared" si="3"/>
        <v>Somente Ubisoft</v>
      </c>
    </row>
    <row r="220" spans="1:10">
      <c r="A220" s="5" t="s">
        <v>513</v>
      </c>
      <c r="B220" s="6" t="s">
        <v>231</v>
      </c>
      <c r="C220" s="5" t="s">
        <v>8</v>
      </c>
      <c r="D220" s="7" t="s">
        <v>728</v>
      </c>
      <c r="E220" s="5" t="s">
        <v>9</v>
      </c>
      <c r="F220" s="5" t="s">
        <v>15</v>
      </c>
      <c r="G220" s="5" t="s">
        <v>9</v>
      </c>
      <c r="H220" s="5" t="s">
        <v>9</v>
      </c>
      <c r="I220" s="8" cm="1">
        <f t="array" ref="I220">_xlfn.XLOOKUP(C220,$S$9:$S$11,_xlfn.XLOOKUP(F220,$T$8:$V$8,$T$9:$V$11))</f>
        <v>59.9</v>
      </c>
      <c r="J220" s="7" t="str">
        <f t="shared" si="3"/>
        <v>Fortnite + Ubisoft</v>
      </c>
    </row>
    <row r="221" spans="1:10">
      <c r="A221" s="5" t="s">
        <v>514</v>
      </c>
      <c r="B221" s="6" t="s">
        <v>232</v>
      </c>
      <c r="C221" s="5" t="s">
        <v>13</v>
      </c>
      <c r="D221" s="7" t="s">
        <v>610</v>
      </c>
      <c r="E221" s="5" t="s">
        <v>14</v>
      </c>
      <c r="F221" s="5" t="s">
        <v>10</v>
      </c>
      <c r="G221" s="5" t="s">
        <v>14</v>
      </c>
      <c r="H221" s="5" t="s">
        <v>9</v>
      </c>
      <c r="I221" s="8" cm="1">
        <f t="array" ref="I221">_xlfn.XLOOKUP(C221,$S$9:$S$11,_xlfn.XLOOKUP(F221,$T$8:$V$8,$T$9:$V$11))</f>
        <v>278.89999999999998</v>
      </c>
      <c r="J221" s="7" t="str">
        <f t="shared" si="3"/>
        <v>Somente Fortnite</v>
      </c>
    </row>
    <row r="222" spans="1:10">
      <c r="A222" s="5" t="s">
        <v>515</v>
      </c>
      <c r="B222" s="6" t="s">
        <v>233</v>
      </c>
      <c r="C222" s="5" t="s">
        <v>8</v>
      </c>
      <c r="D222" s="7" t="s">
        <v>714</v>
      </c>
      <c r="E222" s="5" t="s">
        <v>14</v>
      </c>
      <c r="F222" s="5" t="s">
        <v>10</v>
      </c>
      <c r="G222" s="5" t="s">
        <v>9</v>
      </c>
      <c r="H222" s="5" t="s">
        <v>9</v>
      </c>
      <c r="I222" s="8" cm="1">
        <f t="array" ref="I222">_xlfn.XLOOKUP(C222,$S$9:$S$11,_xlfn.XLOOKUP(F222,$T$8:$V$8,$T$9:$V$11))</f>
        <v>538.9</v>
      </c>
      <c r="J222" s="7" t="str">
        <f t="shared" si="3"/>
        <v>Fortnite + Ubisoft</v>
      </c>
    </row>
    <row r="223" spans="1:10">
      <c r="A223" s="5" t="s">
        <v>516</v>
      </c>
      <c r="B223" s="6" t="s">
        <v>211</v>
      </c>
      <c r="C223" s="5" t="s">
        <v>13</v>
      </c>
      <c r="D223" s="7" t="s">
        <v>666</v>
      </c>
      <c r="E223" s="5" t="s">
        <v>9</v>
      </c>
      <c r="F223" s="5" t="s">
        <v>15</v>
      </c>
      <c r="G223" s="5" t="s">
        <v>14</v>
      </c>
      <c r="H223" s="5" t="s">
        <v>14</v>
      </c>
      <c r="I223" s="8" cm="1">
        <f t="array" ref="I223">_xlfn.XLOOKUP(C223,$S$9:$S$11,_xlfn.XLOOKUP(F223,$T$8:$V$8,$T$9:$V$11))</f>
        <v>34.9</v>
      </c>
      <c r="J223" s="7" t="str">
        <f t="shared" si="3"/>
        <v>Nenhum Add-on</v>
      </c>
    </row>
    <row r="224" spans="1:10">
      <c r="A224" s="5" t="s">
        <v>517</v>
      </c>
      <c r="B224" s="6" t="s">
        <v>67</v>
      </c>
      <c r="C224" s="5" t="s">
        <v>18</v>
      </c>
      <c r="D224" s="7" t="s">
        <v>758</v>
      </c>
      <c r="E224" s="5" t="s">
        <v>9</v>
      </c>
      <c r="F224" s="5" t="s">
        <v>19</v>
      </c>
      <c r="G224" s="5" t="s">
        <v>9</v>
      </c>
      <c r="H224" s="5" t="s">
        <v>14</v>
      </c>
      <c r="I224" s="8" cm="1">
        <f t="array" ref="I224">_xlfn.XLOOKUP(C224,$S$9:$S$11,_xlfn.XLOOKUP(F224,$T$8:$V$8,$T$9:$V$11))</f>
        <v>139.9</v>
      </c>
      <c r="J224" s="7" t="str">
        <f t="shared" si="3"/>
        <v>Somente Ubisoft</v>
      </c>
    </row>
    <row r="225" spans="1:10">
      <c r="A225" s="5" t="s">
        <v>518</v>
      </c>
      <c r="B225" s="6" t="s">
        <v>234</v>
      </c>
      <c r="C225" s="5" t="s">
        <v>8</v>
      </c>
      <c r="D225" s="7" t="s">
        <v>608</v>
      </c>
      <c r="E225" s="5" t="s">
        <v>14</v>
      </c>
      <c r="F225" s="5" t="s">
        <v>15</v>
      </c>
      <c r="G225" s="5" t="s">
        <v>9</v>
      </c>
      <c r="H225" s="5" t="s">
        <v>9</v>
      </c>
      <c r="I225" s="8" cm="1">
        <f t="array" ref="I225">_xlfn.XLOOKUP(C225,$S$9:$S$11,_xlfn.XLOOKUP(F225,$T$8:$V$8,$T$9:$V$11))</f>
        <v>59.9</v>
      </c>
      <c r="J225" s="7" t="str">
        <f t="shared" si="3"/>
        <v>Fortnite + Ubisoft</v>
      </c>
    </row>
    <row r="226" spans="1:10">
      <c r="A226" s="5" t="s">
        <v>519</v>
      </c>
      <c r="B226" s="6" t="s">
        <v>235</v>
      </c>
      <c r="C226" s="5" t="s">
        <v>13</v>
      </c>
      <c r="D226" s="7" t="s">
        <v>759</v>
      </c>
      <c r="E226" s="5" t="s">
        <v>14</v>
      </c>
      <c r="F226" s="5" t="s">
        <v>10</v>
      </c>
      <c r="G226" s="5" t="s">
        <v>14</v>
      </c>
      <c r="H226" s="5" t="s">
        <v>9</v>
      </c>
      <c r="I226" s="8" cm="1">
        <f t="array" ref="I226">_xlfn.XLOOKUP(C226,$S$9:$S$11,_xlfn.XLOOKUP(F226,$T$8:$V$8,$T$9:$V$11))</f>
        <v>278.89999999999998</v>
      </c>
      <c r="J226" s="7" t="str">
        <f t="shared" si="3"/>
        <v>Somente Fortnite</v>
      </c>
    </row>
    <row r="227" spans="1:10">
      <c r="A227" s="5" t="s">
        <v>520</v>
      </c>
      <c r="B227" s="6" t="s">
        <v>236</v>
      </c>
      <c r="C227" s="5" t="s">
        <v>8</v>
      </c>
      <c r="D227" s="7" t="s">
        <v>723</v>
      </c>
      <c r="E227" s="5" t="s">
        <v>14</v>
      </c>
      <c r="F227" s="5" t="s">
        <v>10</v>
      </c>
      <c r="G227" s="5" t="s">
        <v>9</v>
      </c>
      <c r="H227" s="5" t="s">
        <v>9</v>
      </c>
      <c r="I227" s="8" cm="1">
        <f t="array" ref="I227">_xlfn.XLOOKUP(C227,$S$9:$S$11,_xlfn.XLOOKUP(F227,$T$8:$V$8,$T$9:$V$11))</f>
        <v>538.9</v>
      </c>
      <c r="J227" s="7" t="str">
        <f t="shared" si="3"/>
        <v>Fortnite + Ubisoft</v>
      </c>
    </row>
    <row r="228" spans="1:10">
      <c r="A228" s="5" t="s">
        <v>521</v>
      </c>
      <c r="B228" s="6" t="s">
        <v>237</v>
      </c>
      <c r="C228" s="5" t="s">
        <v>13</v>
      </c>
      <c r="D228" s="7" t="s">
        <v>760</v>
      </c>
      <c r="E228" s="5" t="s">
        <v>14</v>
      </c>
      <c r="F228" s="5" t="s">
        <v>15</v>
      </c>
      <c r="G228" s="5" t="s">
        <v>14</v>
      </c>
      <c r="H228" s="5" t="s">
        <v>14</v>
      </c>
      <c r="I228" s="8" cm="1">
        <f t="array" ref="I228">_xlfn.XLOOKUP(C228,$S$9:$S$11,_xlfn.XLOOKUP(F228,$T$8:$V$8,$T$9:$V$11))</f>
        <v>34.9</v>
      </c>
      <c r="J228" s="7" t="str">
        <f t="shared" si="3"/>
        <v>Nenhum Add-on</v>
      </c>
    </row>
    <row r="229" spans="1:10">
      <c r="A229" s="5" t="s">
        <v>522</v>
      </c>
      <c r="B229" s="6" t="s">
        <v>238</v>
      </c>
      <c r="C229" s="5" t="s">
        <v>18</v>
      </c>
      <c r="D229" s="7" t="s">
        <v>661</v>
      </c>
      <c r="E229" s="5" t="s">
        <v>9</v>
      </c>
      <c r="F229" s="5" t="s">
        <v>19</v>
      </c>
      <c r="G229" s="5" t="s">
        <v>9</v>
      </c>
      <c r="H229" s="5" t="s">
        <v>14</v>
      </c>
      <c r="I229" s="8" cm="1">
        <f t="array" ref="I229">_xlfn.XLOOKUP(C229,$S$9:$S$11,_xlfn.XLOOKUP(F229,$T$8:$V$8,$T$9:$V$11))</f>
        <v>139.9</v>
      </c>
      <c r="J229" s="7" t="str">
        <f t="shared" si="3"/>
        <v>Somente Ubisoft</v>
      </c>
    </row>
    <row r="230" spans="1:10">
      <c r="A230" s="5" t="s">
        <v>523</v>
      </c>
      <c r="B230" s="6" t="s">
        <v>239</v>
      </c>
      <c r="C230" s="5" t="s">
        <v>8</v>
      </c>
      <c r="D230" s="7" t="s">
        <v>761</v>
      </c>
      <c r="E230" s="5" t="s">
        <v>9</v>
      </c>
      <c r="F230" s="5" t="s">
        <v>15</v>
      </c>
      <c r="G230" s="5" t="s">
        <v>9</v>
      </c>
      <c r="H230" s="5" t="s">
        <v>9</v>
      </c>
      <c r="I230" s="8" cm="1">
        <f t="array" ref="I230">_xlfn.XLOOKUP(C230,$S$9:$S$11,_xlfn.XLOOKUP(F230,$T$8:$V$8,$T$9:$V$11))</f>
        <v>59.9</v>
      </c>
      <c r="J230" s="7" t="str">
        <f t="shared" si="3"/>
        <v>Fortnite + Ubisoft</v>
      </c>
    </row>
    <row r="231" spans="1:10">
      <c r="A231" s="5" t="s">
        <v>524</v>
      </c>
      <c r="B231" s="6" t="s">
        <v>149</v>
      </c>
      <c r="C231" s="5" t="s">
        <v>13</v>
      </c>
      <c r="D231" s="7" t="s">
        <v>634</v>
      </c>
      <c r="E231" s="5" t="s">
        <v>14</v>
      </c>
      <c r="F231" s="5" t="s">
        <v>10</v>
      </c>
      <c r="G231" s="5" t="s">
        <v>14</v>
      </c>
      <c r="H231" s="5" t="s">
        <v>9</v>
      </c>
      <c r="I231" s="8" cm="1">
        <f t="array" ref="I231">_xlfn.XLOOKUP(C231,$S$9:$S$11,_xlfn.XLOOKUP(F231,$T$8:$V$8,$T$9:$V$11))</f>
        <v>278.89999999999998</v>
      </c>
      <c r="J231" s="7" t="str">
        <f t="shared" si="3"/>
        <v>Somente Fortnite</v>
      </c>
    </row>
    <row r="232" spans="1:10">
      <c r="A232" s="5" t="s">
        <v>525</v>
      </c>
      <c r="B232" s="6" t="s">
        <v>240</v>
      </c>
      <c r="C232" s="5" t="s">
        <v>8</v>
      </c>
      <c r="D232" s="7" t="s">
        <v>762</v>
      </c>
      <c r="E232" s="5" t="s">
        <v>9</v>
      </c>
      <c r="F232" s="5" t="s">
        <v>10</v>
      </c>
      <c r="G232" s="5" t="s">
        <v>9</v>
      </c>
      <c r="H232" s="5" t="s">
        <v>9</v>
      </c>
      <c r="I232" s="8" cm="1">
        <f t="array" ref="I232">_xlfn.XLOOKUP(C232,$S$9:$S$11,_xlfn.XLOOKUP(F232,$T$8:$V$8,$T$9:$V$11))</f>
        <v>538.9</v>
      </c>
      <c r="J232" s="7" t="str">
        <f t="shared" si="3"/>
        <v>Fortnite + Ubisoft</v>
      </c>
    </row>
    <row r="233" spans="1:10">
      <c r="A233" s="5" t="s">
        <v>526</v>
      </c>
      <c r="B233" s="6" t="s">
        <v>241</v>
      </c>
      <c r="C233" s="5" t="s">
        <v>13</v>
      </c>
      <c r="D233" s="7" t="s">
        <v>763</v>
      </c>
      <c r="E233" s="5" t="s">
        <v>9</v>
      </c>
      <c r="F233" s="5" t="s">
        <v>15</v>
      </c>
      <c r="G233" s="5" t="s">
        <v>14</v>
      </c>
      <c r="H233" s="5" t="s">
        <v>14</v>
      </c>
      <c r="I233" s="8" cm="1">
        <f t="array" ref="I233">_xlfn.XLOOKUP(C233,$S$9:$S$11,_xlfn.XLOOKUP(F233,$T$8:$V$8,$T$9:$V$11))</f>
        <v>34.9</v>
      </c>
      <c r="J233" s="7" t="str">
        <f t="shared" si="3"/>
        <v>Nenhum Add-on</v>
      </c>
    </row>
    <row r="234" spans="1:10">
      <c r="A234" s="5" t="s">
        <v>527</v>
      </c>
      <c r="B234" s="6" t="s">
        <v>242</v>
      </c>
      <c r="C234" s="5" t="s">
        <v>18</v>
      </c>
      <c r="D234" s="7" t="s">
        <v>749</v>
      </c>
      <c r="E234" s="5" t="s">
        <v>9</v>
      </c>
      <c r="F234" s="5" t="s">
        <v>19</v>
      </c>
      <c r="G234" s="5" t="s">
        <v>9</v>
      </c>
      <c r="H234" s="5" t="s">
        <v>14</v>
      </c>
      <c r="I234" s="8" cm="1">
        <f t="array" ref="I234">_xlfn.XLOOKUP(C234,$S$9:$S$11,_xlfn.XLOOKUP(F234,$T$8:$V$8,$T$9:$V$11))</f>
        <v>139.9</v>
      </c>
      <c r="J234" s="7" t="str">
        <f t="shared" si="3"/>
        <v>Somente Ubisoft</v>
      </c>
    </row>
    <row r="235" spans="1:10">
      <c r="A235" s="5" t="s">
        <v>528</v>
      </c>
      <c r="B235" s="6" t="s">
        <v>243</v>
      </c>
      <c r="C235" s="5" t="s">
        <v>8</v>
      </c>
      <c r="D235" s="7" t="s">
        <v>764</v>
      </c>
      <c r="E235" s="5" t="s">
        <v>14</v>
      </c>
      <c r="F235" s="5" t="s">
        <v>15</v>
      </c>
      <c r="G235" s="5" t="s">
        <v>9</v>
      </c>
      <c r="H235" s="5" t="s">
        <v>9</v>
      </c>
      <c r="I235" s="8" cm="1">
        <f t="array" ref="I235">_xlfn.XLOOKUP(C235,$S$9:$S$11,_xlfn.XLOOKUP(F235,$T$8:$V$8,$T$9:$V$11))</f>
        <v>59.9</v>
      </c>
      <c r="J235" s="7" t="str">
        <f t="shared" si="3"/>
        <v>Fortnite + Ubisoft</v>
      </c>
    </row>
    <row r="236" spans="1:10">
      <c r="A236" s="5" t="s">
        <v>529</v>
      </c>
      <c r="B236" s="6" t="s">
        <v>244</v>
      </c>
      <c r="C236" s="5" t="s">
        <v>13</v>
      </c>
      <c r="D236" s="7" t="s">
        <v>765</v>
      </c>
      <c r="E236" s="5" t="s">
        <v>14</v>
      </c>
      <c r="F236" s="5" t="s">
        <v>10</v>
      </c>
      <c r="G236" s="5" t="s">
        <v>14</v>
      </c>
      <c r="H236" s="5" t="s">
        <v>9</v>
      </c>
      <c r="I236" s="8" cm="1">
        <f t="array" ref="I236">_xlfn.XLOOKUP(C236,$S$9:$S$11,_xlfn.XLOOKUP(F236,$T$8:$V$8,$T$9:$V$11))</f>
        <v>278.89999999999998</v>
      </c>
      <c r="J236" s="7" t="str">
        <f t="shared" si="3"/>
        <v>Somente Fortnite</v>
      </c>
    </row>
    <row r="237" spans="1:10">
      <c r="A237" s="5" t="s">
        <v>530</v>
      </c>
      <c r="B237" s="6" t="s">
        <v>245</v>
      </c>
      <c r="C237" s="5" t="s">
        <v>8</v>
      </c>
      <c r="D237" s="7" t="s">
        <v>746</v>
      </c>
      <c r="E237" s="5" t="s">
        <v>9</v>
      </c>
      <c r="F237" s="5" t="s">
        <v>10</v>
      </c>
      <c r="G237" s="5" t="s">
        <v>9</v>
      </c>
      <c r="H237" s="5" t="s">
        <v>9</v>
      </c>
      <c r="I237" s="8" cm="1">
        <f t="array" ref="I237">_xlfn.XLOOKUP(C237,$S$9:$S$11,_xlfn.XLOOKUP(F237,$T$8:$V$8,$T$9:$V$11))</f>
        <v>538.9</v>
      </c>
      <c r="J237" s="7" t="str">
        <f t="shared" si="3"/>
        <v>Fortnite + Ubisoft</v>
      </c>
    </row>
    <row r="238" spans="1:10">
      <c r="A238" s="5" t="s">
        <v>531</v>
      </c>
      <c r="B238" s="6" t="s">
        <v>246</v>
      </c>
      <c r="C238" s="5" t="s">
        <v>13</v>
      </c>
      <c r="D238" s="7" t="s">
        <v>698</v>
      </c>
      <c r="E238" s="5" t="s">
        <v>9</v>
      </c>
      <c r="F238" s="5" t="s">
        <v>15</v>
      </c>
      <c r="G238" s="5" t="s">
        <v>14</v>
      </c>
      <c r="H238" s="5" t="s">
        <v>14</v>
      </c>
      <c r="I238" s="8" cm="1">
        <f t="array" ref="I238">_xlfn.XLOOKUP(C238,$S$9:$S$11,_xlfn.XLOOKUP(F238,$T$8:$V$8,$T$9:$V$11))</f>
        <v>34.9</v>
      </c>
      <c r="J238" s="7" t="str">
        <f t="shared" si="3"/>
        <v>Nenhum Add-on</v>
      </c>
    </row>
    <row r="239" spans="1:10">
      <c r="A239" s="5" t="s">
        <v>532</v>
      </c>
      <c r="B239" s="6" t="s">
        <v>247</v>
      </c>
      <c r="C239" s="5" t="s">
        <v>18</v>
      </c>
      <c r="D239" s="7" t="s">
        <v>691</v>
      </c>
      <c r="E239" s="5" t="s">
        <v>9</v>
      </c>
      <c r="F239" s="5" t="s">
        <v>19</v>
      </c>
      <c r="G239" s="5" t="s">
        <v>9</v>
      </c>
      <c r="H239" s="5" t="s">
        <v>14</v>
      </c>
      <c r="I239" s="8" cm="1">
        <f t="array" ref="I239">_xlfn.XLOOKUP(C239,$S$9:$S$11,_xlfn.XLOOKUP(F239,$T$8:$V$8,$T$9:$V$11))</f>
        <v>139.9</v>
      </c>
      <c r="J239" s="7" t="str">
        <f t="shared" si="3"/>
        <v>Somente Ubisoft</v>
      </c>
    </row>
    <row r="240" spans="1:10">
      <c r="A240" s="5" t="s">
        <v>533</v>
      </c>
      <c r="B240" s="6" t="s">
        <v>248</v>
      </c>
      <c r="C240" s="5" t="s">
        <v>8</v>
      </c>
      <c r="D240" s="7" t="s">
        <v>668</v>
      </c>
      <c r="E240" s="5" t="s">
        <v>14</v>
      </c>
      <c r="F240" s="5" t="s">
        <v>15</v>
      </c>
      <c r="G240" s="5" t="s">
        <v>9</v>
      </c>
      <c r="H240" s="5" t="s">
        <v>9</v>
      </c>
      <c r="I240" s="8" cm="1">
        <f t="array" ref="I240">_xlfn.XLOOKUP(C240,$S$9:$S$11,_xlfn.XLOOKUP(F240,$T$8:$V$8,$T$9:$V$11))</f>
        <v>59.9</v>
      </c>
      <c r="J240" s="7" t="str">
        <f t="shared" si="3"/>
        <v>Fortnite + Ubisoft</v>
      </c>
    </row>
    <row r="241" spans="1:10">
      <c r="A241" s="5" t="s">
        <v>534</v>
      </c>
      <c r="B241" s="6" t="s">
        <v>249</v>
      </c>
      <c r="C241" s="5" t="s">
        <v>13</v>
      </c>
      <c r="D241" s="7" t="s">
        <v>766</v>
      </c>
      <c r="E241" s="5" t="s">
        <v>14</v>
      </c>
      <c r="F241" s="5" t="s">
        <v>10</v>
      </c>
      <c r="G241" s="5" t="s">
        <v>14</v>
      </c>
      <c r="H241" s="5" t="s">
        <v>9</v>
      </c>
      <c r="I241" s="8" cm="1">
        <f t="array" ref="I241">_xlfn.XLOOKUP(C241,$S$9:$S$11,_xlfn.XLOOKUP(F241,$T$8:$V$8,$T$9:$V$11))</f>
        <v>278.89999999999998</v>
      </c>
      <c r="J241" s="7" t="str">
        <f t="shared" si="3"/>
        <v>Somente Fortnite</v>
      </c>
    </row>
    <row r="242" spans="1:10">
      <c r="A242" s="5" t="s">
        <v>535</v>
      </c>
      <c r="B242" s="6" t="s">
        <v>250</v>
      </c>
      <c r="C242" s="5" t="s">
        <v>8</v>
      </c>
      <c r="D242" s="7" t="s">
        <v>767</v>
      </c>
      <c r="E242" s="5" t="s">
        <v>14</v>
      </c>
      <c r="F242" s="5" t="s">
        <v>10</v>
      </c>
      <c r="G242" s="5" t="s">
        <v>9</v>
      </c>
      <c r="H242" s="5" t="s">
        <v>9</v>
      </c>
      <c r="I242" s="8" cm="1">
        <f t="array" ref="I242">_xlfn.XLOOKUP(C242,$S$9:$S$11,_xlfn.XLOOKUP(F242,$T$8:$V$8,$T$9:$V$11))</f>
        <v>538.9</v>
      </c>
      <c r="J242" s="7" t="str">
        <f t="shared" si="3"/>
        <v>Fortnite + Ubisoft</v>
      </c>
    </row>
    <row r="243" spans="1:10">
      <c r="A243" s="5" t="s">
        <v>536</v>
      </c>
      <c r="B243" s="6" t="s">
        <v>251</v>
      </c>
      <c r="C243" s="5" t="s">
        <v>13</v>
      </c>
      <c r="D243" s="7" t="s">
        <v>768</v>
      </c>
      <c r="E243" s="5" t="s">
        <v>9</v>
      </c>
      <c r="F243" s="5" t="s">
        <v>15</v>
      </c>
      <c r="G243" s="5" t="s">
        <v>14</v>
      </c>
      <c r="H243" s="5" t="s">
        <v>14</v>
      </c>
      <c r="I243" s="8" cm="1">
        <f t="array" ref="I243">_xlfn.XLOOKUP(C243,$S$9:$S$11,_xlfn.XLOOKUP(F243,$T$8:$V$8,$T$9:$V$11))</f>
        <v>34.9</v>
      </c>
      <c r="J243" s="7" t="str">
        <f t="shared" si="3"/>
        <v>Nenhum Add-on</v>
      </c>
    </row>
    <row r="244" spans="1:10">
      <c r="A244" s="5" t="s">
        <v>537</v>
      </c>
      <c r="B244" s="6" t="s">
        <v>161</v>
      </c>
      <c r="C244" s="5" t="s">
        <v>18</v>
      </c>
      <c r="D244" s="7" t="s">
        <v>769</v>
      </c>
      <c r="E244" s="5" t="s">
        <v>9</v>
      </c>
      <c r="F244" s="5" t="s">
        <v>19</v>
      </c>
      <c r="G244" s="5" t="s">
        <v>9</v>
      </c>
      <c r="H244" s="5" t="s">
        <v>14</v>
      </c>
      <c r="I244" s="8" cm="1">
        <f t="array" ref="I244">_xlfn.XLOOKUP(C244,$S$9:$S$11,_xlfn.XLOOKUP(F244,$T$8:$V$8,$T$9:$V$11))</f>
        <v>139.9</v>
      </c>
      <c r="J244" s="7" t="str">
        <f t="shared" si="3"/>
        <v>Somente Ubisoft</v>
      </c>
    </row>
    <row r="245" spans="1:10">
      <c r="A245" s="5" t="s">
        <v>538</v>
      </c>
      <c r="B245" s="6" t="s">
        <v>252</v>
      </c>
      <c r="C245" s="5" t="s">
        <v>8</v>
      </c>
      <c r="D245" s="7" t="s">
        <v>770</v>
      </c>
      <c r="E245" s="5" t="s">
        <v>9</v>
      </c>
      <c r="F245" s="5" t="s">
        <v>15</v>
      </c>
      <c r="G245" s="5" t="s">
        <v>9</v>
      </c>
      <c r="H245" s="5" t="s">
        <v>9</v>
      </c>
      <c r="I245" s="8" cm="1">
        <f t="array" ref="I245">_xlfn.XLOOKUP(C245,$S$9:$S$11,_xlfn.XLOOKUP(F245,$T$8:$V$8,$T$9:$V$11))</f>
        <v>59.9</v>
      </c>
      <c r="J245" s="7" t="str">
        <f t="shared" si="3"/>
        <v>Fortnite + Ubisoft</v>
      </c>
    </row>
    <row r="246" spans="1:10">
      <c r="A246" s="5" t="s">
        <v>539</v>
      </c>
      <c r="B246" s="6" t="s">
        <v>253</v>
      </c>
      <c r="C246" s="5" t="s">
        <v>13</v>
      </c>
      <c r="D246" s="7" t="s">
        <v>771</v>
      </c>
      <c r="E246" s="5" t="s">
        <v>9</v>
      </c>
      <c r="F246" s="5" t="s">
        <v>10</v>
      </c>
      <c r="G246" s="5" t="s">
        <v>14</v>
      </c>
      <c r="H246" s="5" t="s">
        <v>9</v>
      </c>
      <c r="I246" s="8" cm="1">
        <f t="array" ref="I246">_xlfn.XLOOKUP(C246,$S$9:$S$11,_xlfn.XLOOKUP(F246,$T$8:$V$8,$T$9:$V$11))</f>
        <v>278.89999999999998</v>
      </c>
      <c r="J246" s="7" t="str">
        <f t="shared" si="3"/>
        <v>Somente Fortnite</v>
      </c>
    </row>
    <row r="247" spans="1:10">
      <c r="A247" s="5" t="s">
        <v>540</v>
      </c>
      <c r="B247" s="6" t="s">
        <v>254</v>
      </c>
      <c r="C247" s="5" t="s">
        <v>8</v>
      </c>
      <c r="D247" s="7" t="s">
        <v>772</v>
      </c>
      <c r="E247" s="5" t="s">
        <v>14</v>
      </c>
      <c r="F247" s="5" t="s">
        <v>10</v>
      </c>
      <c r="G247" s="5" t="s">
        <v>9</v>
      </c>
      <c r="H247" s="5" t="s">
        <v>9</v>
      </c>
      <c r="I247" s="8" cm="1">
        <f t="array" ref="I247">_xlfn.XLOOKUP(C247,$S$9:$S$11,_xlfn.XLOOKUP(F247,$T$8:$V$8,$T$9:$V$11))</f>
        <v>538.9</v>
      </c>
      <c r="J247" s="7" t="str">
        <f t="shared" si="3"/>
        <v>Fortnite + Ubisoft</v>
      </c>
    </row>
    <row r="248" spans="1:10">
      <c r="A248" s="5" t="s">
        <v>541</v>
      </c>
      <c r="B248" s="6" t="s">
        <v>255</v>
      </c>
      <c r="C248" s="5" t="s">
        <v>13</v>
      </c>
      <c r="D248" s="7" t="s">
        <v>689</v>
      </c>
      <c r="E248" s="5" t="s">
        <v>14</v>
      </c>
      <c r="F248" s="5" t="s">
        <v>15</v>
      </c>
      <c r="G248" s="5" t="s">
        <v>14</v>
      </c>
      <c r="H248" s="5" t="s">
        <v>14</v>
      </c>
      <c r="I248" s="8" cm="1">
        <f t="array" ref="I248">_xlfn.XLOOKUP(C248,$S$9:$S$11,_xlfn.XLOOKUP(F248,$T$8:$V$8,$T$9:$V$11))</f>
        <v>34.9</v>
      </c>
      <c r="J248" s="7" t="str">
        <f t="shared" si="3"/>
        <v>Nenhum Add-on</v>
      </c>
    </row>
    <row r="249" spans="1:10">
      <c r="A249" s="5" t="s">
        <v>542</v>
      </c>
      <c r="B249" s="6" t="s">
        <v>256</v>
      </c>
      <c r="C249" s="5" t="s">
        <v>18</v>
      </c>
      <c r="D249" s="7" t="s">
        <v>773</v>
      </c>
      <c r="E249" s="5" t="s">
        <v>9</v>
      </c>
      <c r="F249" s="5" t="s">
        <v>19</v>
      </c>
      <c r="G249" s="5" t="s">
        <v>9</v>
      </c>
      <c r="H249" s="5" t="s">
        <v>14</v>
      </c>
      <c r="I249" s="8" cm="1">
        <f t="array" ref="I249">_xlfn.XLOOKUP(C249,$S$9:$S$11,_xlfn.XLOOKUP(F249,$T$8:$V$8,$T$9:$V$11))</f>
        <v>139.9</v>
      </c>
      <c r="J249" s="7" t="str">
        <f t="shared" si="3"/>
        <v>Somente Ubisoft</v>
      </c>
    </row>
    <row r="250" spans="1:10">
      <c r="A250" s="5" t="s">
        <v>543</v>
      </c>
      <c r="B250" s="6" t="s">
        <v>257</v>
      </c>
      <c r="C250" s="5" t="s">
        <v>8</v>
      </c>
      <c r="D250" s="7" t="s">
        <v>617</v>
      </c>
      <c r="E250" s="5" t="s">
        <v>9</v>
      </c>
      <c r="F250" s="5" t="s">
        <v>15</v>
      </c>
      <c r="G250" s="5" t="s">
        <v>9</v>
      </c>
      <c r="H250" s="5" t="s">
        <v>9</v>
      </c>
      <c r="I250" s="8" cm="1">
        <f t="array" ref="I250">_xlfn.XLOOKUP(C250,$S$9:$S$11,_xlfn.XLOOKUP(F250,$T$8:$V$8,$T$9:$V$11))</f>
        <v>59.9</v>
      </c>
      <c r="J250" s="7" t="str">
        <f t="shared" si="3"/>
        <v>Fortnite + Ubisoft</v>
      </c>
    </row>
    <row r="251" spans="1:10">
      <c r="A251" s="5" t="s">
        <v>544</v>
      </c>
      <c r="B251" s="6" t="s">
        <v>258</v>
      </c>
      <c r="C251" s="5" t="s">
        <v>13</v>
      </c>
      <c r="D251" s="7" t="s">
        <v>774</v>
      </c>
      <c r="E251" s="5" t="s">
        <v>14</v>
      </c>
      <c r="F251" s="5" t="s">
        <v>10</v>
      </c>
      <c r="G251" s="5" t="s">
        <v>14</v>
      </c>
      <c r="H251" s="5" t="s">
        <v>9</v>
      </c>
      <c r="I251" s="8" cm="1">
        <f t="array" ref="I251">_xlfn.XLOOKUP(C251,$S$9:$S$11,_xlfn.XLOOKUP(F251,$T$8:$V$8,$T$9:$V$11))</f>
        <v>278.89999999999998</v>
      </c>
      <c r="J251" s="7" t="str">
        <f t="shared" si="3"/>
        <v>Somente Fortnite</v>
      </c>
    </row>
    <row r="252" spans="1:10">
      <c r="A252" s="5" t="s">
        <v>545</v>
      </c>
      <c r="B252" s="6" t="s">
        <v>259</v>
      </c>
      <c r="C252" s="5" t="s">
        <v>8</v>
      </c>
      <c r="D252" s="7" t="s">
        <v>634</v>
      </c>
      <c r="E252" s="5" t="s">
        <v>14</v>
      </c>
      <c r="F252" s="5" t="s">
        <v>10</v>
      </c>
      <c r="G252" s="5" t="s">
        <v>9</v>
      </c>
      <c r="H252" s="5" t="s">
        <v>9</v>
      </c>
      <c r="I252" s="8" cm="1">
        <f t="array" ref="I252">_xlfn.XLOOKUP(C252,$S$9:$S$11,_xlfn.XLOOKUP(F252,$T$8:$V$8,$T$9:$V$11))</f>
        <v>538.9</v>
      </c>
      <c r="J252" s="7" t="str">
        <f t="shared" si="3"/>
        <v>Fortnite + Ubisoft</v>
      </c>
    </row>
    <row r="253" spans="1:10">
      <c r="A253" s="5" t="s">
        <v>546</v>
      </c>
      <c r="B253" s="6" t="s">
        <v>260</v>
      </c>
      <c r="C253" s="5" t="s">
        <v>13</v>
      </c>
      <c r="D253" s="7" t="s">
        <v>775</v>
      </c>
      <c r="E253" s="5" t="s">
        <v>14</v>
      </c>
      <c r="F253" s="5" t="s">
        <v>15</v>
      </c>
      <c r="G253" s="5" t="s">
        <v>14</v>
      </c>
      <c r="H253" s="5" t="s">
        <v>14</v>
      </c>
      <c r="I253" s="8" cm="1">
        <f t="array" ref="I253">_xlfn.XLOOKUP(C253,$S$9:$S$11,_xlfn.XLOOKUP(F253,$T$8:$V$8,$T$9:$V$11))</f>
        <v>34.9</v>
      </c>
      <c r="J253" s="7" t="str">
        <f t="shared" si="3"/>
        <v>Nenhum Add-on</v>
      </c>
    </row>
    <row r="254" spans="1:10">
      <c r="A254" s="5" t="s">
        <v>547</v>
      </c>
      <c r="B254" s="6" t="s">
        <v>261</v>
      </c>
      <c r="C254" s="5" t="s">
        <v>18</v>
      </c>
      <c r="D254" s="7" t="s">
        <v>776</v>
      </c>
      <c r="E254" s="5" t="s">
        <v>9</v>
      </c>
      <c r="F254" s="5" t="s">
        <v>19</v>
      </c>
      <c r="G254" s="5" t="s">
        <v>9</v>
      </c>
      <c r="H254" s="5" t="s">
        <v>14</v>
      </c>
      <c r="I254" s="8" cm="1">
        <f t="array" ref="I254">_xlfn.XLOOKUP(C254,$S$9:$S$11,_xlfn.XLOOKUP(F254,$T$8:$V$8,$T$9:$V$11))</f>
        <v>139.9</v>
      </c>
      <c r="J254" s="7" t="str">
        <f t="shared" si="3"/>
        <v>Somente Ubisoft</v>
      </c>
    </row>
    <row r="255" spans="1:10">
      <c r="A255" s="5" t="s">
        <v>548</v>
      </c>
      <c r="B255" s="6" t="s">
        <v>262</v>
      </c>
      <c r="C255" s="5" t="s">
        <v>8</v>
      </c>
      <c r="D255" s="7" t="s">
        <v>666</v>
      </c>
      <c r="E255" s="5" t="s">
        <v>9</v>
      </c>
      <c r="F255" s="5" t="s">
        <v>15</v>
      </c>
      <c r="G255" s="5" t="s">
        <v>9</v>
      </c>
      <c r="H255" s="5" t="s">
        <v>9</v>
      </c>
      <c r="I255" s="8" cm="1">
        <f t="array" ref="I255">_xlfn.XLOOKUP(C255,$S$9:$S$11,_xlfn.XLOOKUP(F255,$T$8:$V$8,$T$9:$V$11))</f>
        <v>59.9</v>
      </c>
      <c r="J255" s="7" t="str">
        <f t="shared" si="3"/>
        <v>Fortnite + Ubisoft</v>
      </c>
    </row>
    <row r="256" spans="1:10">
      <c r="A256" s="5" t="s">
        <v>549</v>
      </c>
      <c r="B256" s="6" t="s">
        <v>263</v>
      </c>
      <c r="C256" s="5" t="s">
        <v>13</v>
      </c>
      <c r="D256" s="7" t="s">
        <v>777</v>
      </c>
      <c r="E256" s="5" t="s">
        <v>9</v>
      </c>
      <c r="F256" s="5" t="s">
        <v>10</v>
      </c>
      <c r="G256" s="5" t="s">
        <v>14</v>
      </c>
      <c r="H256" s="5" t="s">
        <v>9</v>
      </c>
      <c r="I256" s="8" cm="1">
        <f t="array" ref="I256">_xlfn.XLOOKUP(C256,$S$9:$S$11,_xlfn.XLOOKUP(F256,$T$8:$V$8,$T$9:$V$11))</f>
        <v>278.89999999999998</v>
      </c>
      <c r="J256" s="7" t="str">
        <f t="shared" si="3"/>
        <v>Somente Fortnite</v>
      </c>
    </row>
    <row r="257" spans="1:10">
      <c r="A257" s="5" t="s">
        <v>550</v>
      </c>
      <c r="B257" s="6" t="s">
        <v>264</v>
      </c>
      <c r="C257" s="5" t="s">
        <v>8</v>
      </c>
      <c r="D257" s="7" t="s">
        <v>609</v>
      </c>
      <c r="E257" s="5" t="s">
        <v>9</v>
      </c>
      <c r="F257" s="5" t="s">
        <v>10</v>
      </c>
      <c r="G257" s="5" t="s">
        <v>9</v>
      </c>
      <c r="H257" s="5" t="s">
        <v>9</v>
      </c>
      <c r="I257" s="8" cm="1">
        <f t="array" ref="I257">_xlfn.XLOOKUP(C257,$S$9:$S$11,_xlfn.XLOOKUP(F257,$T$8:$V$8,$T$9:$V$11))</f>
        <v>538.9</v>
      </c>
      <c r="J257" s="7" t="str">
        <f t="shared" si="3"/>
        <v>Fortnite + Ubisoft</v>
      </c>
    </row>
    <row r="258" spans="1:10">
      <c r="A258" s="5" t="s">
        <v>551</v>
      </c>
      <c r="B258" s="6" t="s">
        <v>265</v>
      </c>
      <c r="C258" s="5" t="s">
        <v>13</v>
      </c>
      <c r="D258" s="7" t="s">
        <v>705</v>
      </c>
      <c r="E258" s="5" t="s">
        <v>14</v>
      </c>
      <c r="F258" s="5" t="s">
        <v>15</v>
      </c>
      <c r="G258" s="5" t="s">
        <v>14</v>
      </c>
      <c r="H258" s="5" t="s">
        <v>14</v>
      </c>
      <c r="I258" s="8" cm="1">
        <f t="array" ref="I258">_xlfn.XLOOKUP(C258,$S$9:$S$11,_xlfn.XLOOKUP(F258,$T$8:$V$8,$T$9:$V$11))</f>
        <v>34.9</v>
      </c>
      <c r="J258" s="7" t="str">
        <f t="shared" si="3"/>
        <v>Nenhum Add-on</v>
      </c>
    </row>
    <row r="259" spans="1:10">
      <c r="A259" s="5" t="s">
        <v>552</v>
      </c>
      <c r="B259" s="6" t="s">
        <v>266</v>
      </c>
      <c r="C259" s="5" t="s">
        <v>18</v>
      </c>
      <c r="D259" s="7" t="s">
        <v>778</v>
      </c>
      <c r="E259" s="5" t="s">
        <v>9</v>
      </c>
      <c r="F259" s="5" t="s">
        <v>19</v>
      </c>
      <c r="G259" s="5" t="s">
        <v>9</v>
      </c>
      <c r="H259" s="5" t="s">
        <v>14</v>
      </c>
      <c r="I259" s="8" cm="1">
        <f t="array" ref="I259">_xlfn.XLOOKUP(C259,$S$9:$S$11,_xlfn.XLOOKUP(F259,$T$8:$V$8,$T$9:$V$11))</f>
        <v>139.9</v>
      </c>
      <c r="J259" s="7" t="str">
        <f t="shared" ref="J259:J296" si="4">IF(AND(G259="Sim",H259="Sim"),"Fortnite + Ubisoft",
IF(AND(G259="Sim",H259="Não"),"Somente Ubisoft",
IF(AND(G259="Não",H259="Sim"),"Somente Fortnite",
"Nenhum Add-on")))</f>
        <v>Somente Ubisoft</v>
      </c>
    </row>
    <row r="260" spans="1:10">
      <c r="A260" s="5" t="s">
        <v>553</v>
      </c>
      <c r="B260" s="6" t="s">
        <v>267</v>
      </c>
      <c r="C260" s="5" t="s">
        <v>8</v>
      </c>
      <c r="D260" s="7" t="s">
        <v>779</v>
      </c>
      <c r="E260" s="5" t="s">
        <v>14</v>
      </c>
      <c r="F260" s="5" t="s">
        <v>15</v>
      </c>
      <c r="G260" s="5" t="s">
        <v>9</v>
      </c>
      <c r="H260" s="5" t="s">
        <v>9</v>
      </c>
      <c r="I260" s="8" cm="1">
        <f t="array" ref="I260">_xlfn.XLOOKUP(C260,$S$9:$S$11,_xlfn.XLOOKUP(F260,$T$8:$V$8,$T$9:$V$11))</f>
        <v>59.9</v>
      </c>
      <c r="J260" s="7" t="str">
        <f t="shared" si="4"/>
        <v>Fortnite + Ubisoft</v>
      </c>
    </row>
    <row r="261" spans="1:10">
      <c r="A261" s="5" t="s">
        <v>554</v>
      </c>
      <c r="B261" s="6" t="s">
        <v>268</v>
      </c>
      <c r="C261" s="5" t="s">
        <v>13</v>
      </c>
      <c r="D261" s="7" t="s">
        <v>664</v>
      </c>
      <c r="E261" s="5" t="s">
        <v>14</v>
      </c>
      <c r="F261" s="5" t="s">
        <v>10</v>
      </c>
      <c r="G261" s="5" t="s">
        <v>14</v>
      </c>
      <c r="H261" s="5" t="s">
        <v>9</v>
      </c>
      <c r="I261" s="8" cm="1">
        <f t="array" ref="I261">_xlfn.XLOOKUP(C261,$S$9:$S$11,_xlfn.XLOOKUP(F261,$T$8:$V$8,$T$9:$V$11))</f>
        <v>278.89999999999998</v>
      </c>
      <c r="J261" s="7" t="str">
        <f t="shared" si="4"/>
        <v>Somente Fortnite</v>
      </c>
    </row>
    <row r="262" spans="1:10">
      <c r="A262" s="5" t="s">
        <v>555</v>
      </c>
      <c r="B262" s="6" t="s">
        <v>269</v>
      </c>
      <c r="C262" s="5" t="s">
        <v>8</v>
      </c>
      <c r="D262" s="7" t="s">
        <v>591</v>
      </c>
      <c r="E262" s="5" t="s">
        <v>14</v>
      </c>
      <c r="F262" s="5" t="s">
        <v>10</v>
      </c>
      <c r="G262" s="5" t="s">
        <v>9</v>
      </c>
      <c r="H262" s="5" t="s">
        <v>9</v>
      </c>
      <c r="I262" s="8" cm="1">
        <f t="array" ref="I262">_xlfn.XLOOKUP(C262,$S$9:$S$11,_xlfn.XLOOKUP(F262,$T$8:$V$8,$T$9:$V$11))</f>
        <v>538.9</v>
      </c>
      <c r="J262" s="7" t="str">
        <f t="shared" si="4"/>
        <v>Fortnite + Ubisoft</v>
      </c>
    </row>
    <row r="263" spans="1:10">
      <c r="A263" s="5" t="s">
        <v>556</v>
      </c>
      <c r="B263" s="6" t="s">
        <v>270</v>
      </c>
      <c r="C263" s="5" t="s">
        <v>13</v>
      </c>
      <c r="D263" s="7" t="s">
        <v>780</v>
      </c>
      <c r="E263" s="5" t="s">
        <v>14</v>
      </c>
      <c r="F263" s="5" t="s">
        <v>15</v>
      </c>
      <c r="G263" s="5" t="s">
        <v>14</v>
      </c>
      <c r="H263" s="5" t="s">
        <v>14</v>
      </c>
      <c r="I263" s="8" cm="1">
        <f t="array" ref="I263">_xlfn.XLOOKUP(C263,$S$9:$S$11,_xlfn.XLOOKUP(F263,$T$8:$V$8,$T$9:$V$11))</f>
        <v>34.9</v>
      </c>
      <c r="J263" s="7" t="str">
        <f t="shared" si="4"/>
        <v>Nenhum Add-on</v>
      </c>
    </row>
    <row r="264" spans="1:10">
      <c r="A264" s="5" t="s">
        <v>557</v>
      </c>
      <c r="B264" s="6" t="s">
        <v>271</v>
      </c>
      <c r="C264" s="5" t="s">
        <v>18</v>
      </c>
      <c r="D264" s="7" t="s">
        <v>781</v>
      </c>
      <c r="E264" s="5" t="s">
        <v>9</v>
      </c>
      <c r="F264" s="5" t="s">
        <v>19</v>
      </c>
      <c r="G264" s="5" t="s">
        <v>9</v>
      </c>
      <c r="H264" s="5" t="s">
        <v>14</v>
      </c>
      <c r="I264" s="8" cm="1">
        <f t="array" ref="I264">_xlfn.XLOOKUP(C264,$S$9:$S$11,_xlfn.XLOOKUP(F264,$T$8:$V$8,$T$9:$V$11))</f>
        <v>139.9</v>
      </c>
      <c r="J264" s="7" t="str">
        <f t="shared" si="4"/>
        <v>Somente Ubisoft</v>
      </c>
    </row>
    <row r="265" spans="1:10">
      <c r="A265" s="5" t="s">
        <v>558</v>
      </c>
      <c r="B265" s="6" t="s">
        <v>272</v>
      </c>
      <c r="C265" s="5" t="s">
        <v>8</v>
      </c>
      <c r="D265" s="7" t="s">
        <v>697</v>
      </c>
      <c r="E265" s="5" t="s">
        <v>9</v>
      </c>
      <c r="F265" s="5" t="s">
        <v>15</v>
      </c>
      <c r="G265" s="5" t="s">
        <v>9</v>
      </c>
      <c r="H265" s="5" t="s">
        <v>9</v>
      </c>
      <c r="I265" s="8" cm="1">
        <f t="array" ref="I265">_xlfn.XLOOKUP(C265,$S$9:$S$11,_xlfn.XLOOKUP(F265,$T$8:$V$8,$T$9:$V$11))</f>
        <v>59.9</v>
      </c>
      <c r="J265" s="7" t="str">
        <f t="shared" si="4"/>
        <v>Fortnite + Ubisoft</v>
      </c>
    </row>
    <row r="266" spans="1:10">
      <c r="A266" s="5" t="s">
        <v>559</v>
      </c>
      <c r="B266" s="6" t="s">
        <v>273</v>
      </c>
      <c r="C266" s="5" t="s">
        <v>13</v>
      </c>
      <c r="D266" s="7" t="s">
        <v>782</v>
      </c>
      <c r="E266" s="5" t="s">
        <v>9</v>
      </c>
      <c r="F266" s="5" t="s">
        <v>10</v>
      </c>
      <c r="G266" s="5" t="s">
        <v>14</v>
      </c>
      <c r="H266" s="5" t="s">
        <v>9</v>
      </c>
      <c r="I266" s="8" cm="1">
        <f t="array" ref="I266">_xlfn.XLOOKUP(C266,$S$9:$S$11,_xlfn.XLOOKUP(F266,$T$8:$V$8,$T$9:$V$11))</f>
        <v>278.89999999999998</v>
      </c>
      <c r="J266" s="7" t="str">
        <f t="shared" si="4"/>
        <v>Somente Fortnite</v>
      </c>
    </row>
    <row r="267" spans="1:10">
      <c r="A267" s="5" t="s">
        <v>560</v>
      </c>
      <c r="B267" s="6" t="s">
        <v>274</v>
      </c>
      <c r="C267" s="5" t="s">
        <v>8</v>
      </c>
      <c r="D267" s="7" t="s">
        <v>644</v>
      </c>
      <c r="E267" s="5" t="s">
        <v>9</v>
      </c>
      <c r="F267" s="5" t="s">
        <v>10</v>
      </c>
      <c r="G267" s="5" t="s">
        <v>9</v>
      </c>
      <c r="H267" s="5" t="s">
        <v>9</v>
      </c>
      <c r="I267" s="8" cm="1">
        <f t="array" ref="I267">_xlfn.XLOOKUP(C267,$S$9:$S$11,_xlfn.XLOOKUP(F267,$T$8:$V$8,$T$9:$V$11))</f>
        <v>538.9</v>
      </c>
      <c r="J267" s="7" t="str">
        <f t="shared" si="4"/>
        <v>Fortnite + Ubisoft</v>
      </c>
    </row>
    <row r="268" spans="1:10">
      <c r="A268" s="5" t="s">
        <v>561</v>
      </c>
      <c r="B268" s="6" t="s">
        <v>275</v>
      </c>
      <c r="C268" s="5" t="s">
        <v>13</v>
      </c>
      <c r="D268" s="7" t="s">
        <v>638</v>
      </c>
      <c r="E268" s="5" t="s">
        <v>14</v>
      </c>
      <c r="F268" s="5" t="s">
        <v>15</v>
      </c>
      <c r="G268" s="5" t="s">
        <v>14</v>
      </c>
      <c r="H268" s="5" t="s">
        <v>14</v>
      </c>
      <c r="I268" s="8" cm="1">
        <f t="array" ref="I268">_xlfn.XLOOKUP(C268,$S$9:$S$11,_xlfn.XLOOKUP(F268,$T$8:$V$8,$T$9:$V$11))</f>
        <v>34.9</v>
      </c>
      <c r="J268" s="7" t="str">
        <f t="shared" si="4"/>
        <v>Nenhum Add-on</v>
      </c>
    </row>
    <row r="269" spans="1:10">
      <c r="A269" s="5" t="s">
        <v>562</v>
      </c>
      <c r="B269" s="6" t="s">
        <v>276</v>
      </c>
      <c r="C269" s="5" t="s">
        <v>18</v>
      </c>
      <c r="D269" s="7" t="s">
        <v>617</v>
      </c>
      <c r="E269" s="5" t="s">
        <v>9</v>
      </c>
      <c r="F269" s="5" t="s">
        <v>19</v>
      </c>
      <c r="G269" s="5" t="s">
        <v>9</v>
      </c>
      <c r="H269" s="5" t="s">
        <v>14</v>
      </c>
      <c r="I269" s="8" cm="1">
        <f t="array" ref="I269">_xlfn.XLOOKUP(C269,$S$9:$S$11,_xlfn.XLOOKUP(F269,$T$8:$V$8,$T$9:$V$11))</f>
        <v>139.9</v>
      </c>
      <c r="J269" s="7" t="str">
        <f t="shared" si="4"/>
        <v>Somente Ubisoft</v>
      </c>
    </row>
    <row r="270" spans="1:10">
      <c r="A270" s="5" t="s">
        <v>563</v>
      </c>
      <c r="B270" s="6" t="s">
        <v>277</v>
      </c>
      <c r="C270" s="5" t="s">
        <v>8</v>
      </c>
      <c r="D270" s="7" t="s">
        <v>783</v>
      </c>
      <c r="E270" s="5" t="s">
        <v>14</v>
      </c>
      <c r="F270" s="5" t="s">
        <v>15</v>
      </c>
      <c r="G270" s="5" t="s">
        <v>9</v>
      </c>
      <c r="H270" s="5" t="s">
        <v>9</v>
      </c>
      <c r="I270" s="8" cm="1">
        <f t="array" ref="I270">_xlfn.XLOOKUP(C270,$S$9:$S$11,_xlfn.XLOOKUP(F270,$T$8:$V$8,$T$9:$V$11))</f>
        <v>59.9</v>
      </c>
      <c r="J270" s="7" t="str">
        <f t="shared" si="4"/>
        <v>Fortnite + Ubisoft</v>
      </c>
    </row>
    <row r="271" spans="1:10">
      <c r="A271" s="5" t="s">
        <v>564</v>
      </c>
      <c r="B271" s="6" t="s">
        <v>278</v>
      </c>
      <c r="C271" s="5" t="s">
        <v>13</v>
      </c>
      <c r="D271" s="7" t="s">
        <v>784</v>
      </c>
      <c r="E271" s="5" t="s">
        <v>9</v>
      </c>
      <c r="F271" s="5" t="s">
        <v>10</v>
      </c>
      <c r="G271" s="5" t="s">
        <v>14</v>
      </c>
      <c r="H271" s="5" t="s">
        <v>9</v>
      </c>
      <c r="I271" s="8" cm="1">
        <f t="array" ref="I271">_xlfn.XLOOKUP(C271,$S$9:$S$11,_xlfn.XLOOKUP(F271,$T$8:$V$8,$T$9:$V$11))</f>
        <v>278.89999999999998</v>
      </c>
      <c r="J271" s="7" t="str">
        <f t="shared" si="4"/>
        <v>Somente Fortnite</v>
      </c>
    </row>
    <row r="272" spans="1:10">
      <c r="A272" s="5" t="s">
        <v>565</v>
      </c>
      <c r="B272" s="6" t="s">
        <v>279</v>
      </c>
      <c r="C272" s="5" t="s">
        <v>8</v>
      </c>
      <c r="D272" s="7" t="s">
        <v>745</v>
      </c>
      <c r="E272" s="5" t="s">
        <v>14</v>
      </c>
      <c r="F272" s="5" t="s">
        <v>10</v>
      </c>
      <c r="G272" s="5" t="s">
        <v>9</v>
      </c>
      <c r="H272" s="5" t="s">
        <v>9</v>
      </c>
      <c r="I272" s="8" cm="1">
        <f t="array" ref="I272">_xlfn.XLOOKUP(C272,$S$9:$S$11,_xlfn.XLOOKUP(F272,$T$8:$V$8,$T$9:$V$11))</f>
        <v>538.9</v>
      </c>
      <c r="J272" s="7" t="str">
        <f t="shared" si="4"/>
        <v>Fortnite + Ubisoft</v>
      </c>
    </row>
    <row r="273" spans="1:10">
      <c r="A273" s="5" t="s">
        <v>566</v>
      </c>
      <c r="B273" s="6" t="s">
        <v>280</v>
      </c>
      <c r="C273" s="5" t="s">
        <v>13</v>
      </c>
      <c r="D273" s="7" t="s">
        <v>636</v>
      </c>
      <c r="E273" s="5" t="s">
        <v>14</v>
      </c>
      <c r="F273" s="5" t="s">
        <v>15</v>
      </c>
      <c r="G273" s="5" t="s">
        <v>14</v>
      </c>
      <c r="H273" s="5" t="s">
        <v>14</v>
      </c>
      <c r="I273" s="8" cm="1">
        <f t="array" ref="I273">_xlfn.XLOOKUP(C273,$S$9:$S$11,_xlfn.XLOOKUP(F273,$T$8:$V$8,$T$9:$V$11))</f>
        <v>34.9</v>
      </c>
      <c r="J273" s="7" t="str">
        <f t="shared" si="4"/>
        <v>Nenhum Add-on</v>
      </c>
    </row>
    <row r="274" spans="1:10">
      <c r="A274" s="5" t="s">
        <v>567</v>
      </c>
      <c r="B274" s="6" t="s">
        <v>141</v>
      </c>
      <c r="C274" s="5" t="s">
        <v>18</v>
      </c>
      <c r="D274" s="7" t="s">
        <v>785</v>
      </c>
      <c r="E274" s="5" t="s">
        <v>9</v>
      </c>
      <c r="F274" s="5" t="s">
        <v>19</v>
      </c>
      <c r="G274" s="5" t="s">
        <v>9</v>
      </c>
      <c r="H274" s="5" t="s">
        <v>14</v>
      </c>
      <c r="I274" s="8" cm="1">
        <f t="array" ref="I274">_xlfn.XLOOKUP(C274,$S$9:$S$11,_xlfn.XLOOKUP(F274,$T$8:$V$8,$T$9:$V$11))</f>
        <v>139.9</v>
      </c>
      <c r="J274" s="7" t="str">
        <f t="shared" si="4"/>
        <v>Somente Ubisoft</v>
      </c>
    </row>
    <row r="275" spans="1:10">
      <c r="A275" s="5" t="s">
        <v>568</v>
      </c>
      <c r="B275" s="6" t="s">
        <v>281</v>
      </c>
      <c r="C275" s="5" t="s">
        <v>8</v>
      </c>
      <c r="D275" s="7" t="s">
        <v>708</v>
      </c>
      <c r="E275" s="5" t="s">
        <v>9</v>
      </c>
      <c r="F275" s="5" t="s">
        <v>15</v>
      </c>
      <c r="G275" s="5" t="s">
        <v>9</v>
      </c>
      <c r="H275" s="5" t="s">
        <v>9</v>
      </c>
      <c r="I275" s="8" cm="1">
        <f t="array" ref="I275">_xlfn.XLOOKUP(C275,$S$9:$S$11,_xlfn.XLOOKUP(F275,$T$8:$V$8,$T$9:$V$11))</f>
        <v>59.9</v>
      </c>
      <c r="J275" s="7" t="str">
        <f t="shared" si="4"/>
        <v>Fortnite + Ubisoft</v>
      </c>
    </row>
    <row r="276" spans="1:10">
      <c r="A276" s="5" t="s">
        <v>569</v>
      </c>
      <c r="B276" s="6" t="s">
        <v>282</v>
      </c>
      <c r="C276" s="5" t="s">
        <v>13</v>
      </c>
      <c r="D276" s="7" t="s">
        <v>786</v>
      </c>
      <c r="E276" s="5" t="s">
        <v>9</v>
      </c>
      <c r="F276" s="5" t="s">
        <v>10</v>
      </c>
      <c r="G276" s="5" t="s">
        <v>14</v>
      </c>
      <c r="H276" s="5" t="s">
        <v>9</v>
      </c>
      <c r="I276" s="8" cm="1">
        <f t="array" ref="I276">_xlfn.XLOOKUP(C276,$S$9:$S$11,_xlfn.XLOOKUP(F276,$T$8:$V$8,$T$9:$V$11))</f>
        <v>278.89999999999998</v>
      </c>
      <c r="J276" s="7" t="str">
        <f t="shared" si="4"/>
        <v>Somente Fortnite</v>
      </c>
    </row>
    <row r="277" spans="1:10">
      <c r="A277" s="5" t="s">
        <v>570</v>
      </c>
      <c r="B277" s="6" t="s">
        <v>283</v>
      </c>
      <c r="C277" s="5" t="s">
        <v>8</v>
      </c>
      <c r="D277" s="7" t="s">
        <v>660</v>
      </c>
      <c r="E277" s="5" t="s">
        <v>14</v>
      </c>
      <c r="F277" s="5" t="s">
        <v>10</v>
      </c>
      <c r="G277" s="5" t="s">
        <v>9</v>
      </c>
      <c r="H277" s="5" t="s">
        <v>9</v>
      </c>
      <c r="I277" s="8" cm="1">
        <f t="array" ref="I277">_xlfn.XLOOKUP(C277,$S$9:$S$11,_xlfn.XLOOKUP(F277,$T$8:$V$8,$T$9:$V$11))</f>
        <v>538.9</v>
      </c>
      <c r="J277" s="7" t="str">
        <f t="shared" si="4"/>
        <v>Fortnite + Ubisoft</v>
      </c>
    </row>
    <row r="278" spans="1:10">
      <c r="A278" s="5" t="s">
        <v>571</v>
      </c>
      <c r="B278" s="6" t="s">
        <v>284</v>
      </c>
      <c r="C278" s="5" t="s">
        <v>13</v>
      </c>
      <c r="D278" s="7" t="s">
        <v>787</v>
      </c>
      <c r="E278" s="5" t="s">
        <v>14</v>
      </c>
      <c r="F278" s="5" t="s">
        <v>15</v>
      </c>
      <c r="G278" s="5" t="s">
        <v>14</v>
      </c>
      <c r="H278" s="5" t="s">
        <v>14</v>
      </c>
      <c r="I278" s="8" cm="1">
        <f t="array" ref="I278">_xlfn.XLOOKUP(C278,$S$9:$S$11,_xlfn.XLOOKUP(F278,$T$8:$V$8,$T$9:$V$11))</f>
        <v>34.9</v>
      </c>
      <c r="J278" s="7" t="str">
        <f t="shared" si="4"/>
        <v>Nenhum Add-on</v>
      </c>
    </row>
    <row r="279" spans="1:10">
      <c r="A279" s="5" t="s">
        <v>572</v>
      </c>
      <c r="B279" s="6" t="s">
        <v>285</v>
      </c>
      <c r="C279" s="5" t="s">
        <v>18</v>
      </c>
      <c r="D279" s="7" t="s">
        <v>629</v>
      </c>
      <c r="E279" s="5" t="s">
        <v>9</v>
      </c>
      <c r="F279" s="5" t="s">
        <v>19</v>
      </c>
      <c r="G279" s="5" t="s">
        <v>9</v>
      </c>
      <c r="H279" s="5" t="s">
        <v>14</v>
      </c>
      <c r="I279" s="8" cm="1">
        <f t="array" ref="I279">_xlfn.XLOOKUP(C279,$S$9:$S$11,_xlfn.XLOOKUP(F279,$T$8:$V$8,$T$9:$V$11))</f>
        <v>139.9</v>
      </c>
      <c r="J279" s="7" t="str">
        <f t="shared" si="4"/>
        <v>Somente Ubisoft</v>
      </c>
    </row>
    <row r="280" spans="1:10">
      <c r="A280" s="5" t="s">
        <v>573</v>
      </c>
      <c r="B280" s="6" t="s">
        <v>286</v>
      </c>
      <c r="C280" s="5" t="s">
        <v>8</v>
      </c>
      <c r="D280" s="7" t="s">
        <v>658</v>
      </c>
      <c r="E280" s="5" t="s">
        <v>14</v>
      </c>
      <c r="F280" s="5" t="s">
        <v>15</v>
      </c>
      <c r="G280" s="5" t="s">
        <v>9</v>
      </c>
      <c r="H280" s="5" t="s">
        <v>9</v>
      </c>
      <c r="I280" s="8" cm="1">
        <f t="array" ref="I280">_xlfn.XLOOKUP(C280,$S$9:$S$11,_xlfn.XLOOKUP(F280,$T$8:$V$8,$T$9:$V$11))</f>
        <v>59.9</v>
      </c>
      <c r="J280" s="7" t="str">
        <f t="shared" si="4"/>
        <v>Fortnite + Ubisoft</v>
      </c>
    </row>
    <row r="281" spans="1:10">
      <c r="A281" s="5" t="s">
        <v>574</v>
      </c>
      <c r="B281" s="6" t="s">
        <v>287</v>
      </c>
      <c r="C281" s="5" t="s">
        <v>13</v>
      </c>
      <c r="D281" s="7" t="s">
        <v>730</v>
      </c>
      <c r="E281" s="5" t="s">
        <v>14</v>
      </c>
      <c r="F281" s="5" t="s">
        <v>10</v>
      </c>
      <c r="G281" s="5" t="s">
        <v>14</v>
      </c>
      <c r="H281" s="5" t="s">
        <v>9</v>
      </c>
      <c r="I281" s="8" cm="1">
        <f t="array" ref="I281">_xlfn.XLOOKUP(C281,$S$9:$S$11,_xlfn.XLOOKUP(F281,$T$8:$V$8,$T$9:$V$11))</f>
        <v>278.89999999999998</v>
      </c>
      <c r="J281" s="7" t="str">
        <f t="shared" si="4"/>
        <v>Somente Fortnite</v>
      </c>
    </row>
    <row r="282" spans="1:10">
      <c r="A282" s="5" t="s">
        <v>575</v>
      </c>
      <c r="B282" s="6" t="s">
        <v>288</v>
      </c>
      <c r="C282" s="5" t="s">
        <v>8</v>
      </c>
      <c r="D282" s="7" t="s">
        <v>788</v>
      </c>
      <c r="E282" s="5" t="s">
        <v>9</v>
      </c>
      <c r="F282" s="5" t="s">
        <v>10</v>
      </c>
      <c r="G282" s="5" t="s">
        <v>9</v>
      </c>
      <c r="H282" s="5" t="s">
        <v>9</v>
      </c>
      <c r="I282" s="8" cm="1">
        <f t="array" ref="I282">_xlfn.XLOOKUP(C282,$S$9:$S$11,_xlfn.XLOOKUP(F282,$T$8:$V$8,$T$9:$V$11))</f>
        <v>538.9</v>
      </c>
      <c r="J282" s="7" t="str">
        <f t="shared" si="4"/>
        <v>Fortnite + Ubisoft</v>
      </c>
    </row>
    <row r="283" spans="1:10">
      <c r="A283" s="5" t="s">
        <v>576</v>
      </c>
      <c r="B283" s="6" t="s">
        <v>289</v>
      </c>
      <c r="C283" s="5" t="s">
        <v>13</v>
      </c>
      <c r="D283" s="7" t="s">
        <v>600</v>
      </c>
      <c r="E283" s="5" t="s">
        <v>9</v>
      </c>
      <c r="F283" s="5" t="s">
        <v>15</v>
      </c>
      <c r="G283" s="5" t="s">
        <v>14</v>
      </c>
      <c r="H283" s="5" t="s">
        <v>14</v>
      </c>
      <c r="I283" s="8" cm="1">
        <f t="array" ref="I283">_xlfn.XLOOKUP(C283,$S$9:$S$11,_xlfn.XLOOKUP(F283,$T$8:$V$8,$T$9:$V$11))</f>
        <v>34.9</v>
      </c>
      <c r="J283" s="7" t="str">
        <f t="shared" si="4"/>
        <v>Nenhum Add-on</v>
      </c>
    </row>
    <row r="284" spans="1:10">
      <c r="A284" s="5" t="s">
        <v>577</v>
      </c>
      <c r="B284" s="6" t="s">
        <v>290</v>
      </c>
      <c r="C284" s="5" t="s">
        <v>18</v>
      </c>
      <c r="D284" s="7" t="s">
        <v>789</v>
      </c>
      <c r="E284" s="5" t="s">
        <v>9</v>
      </c>
      <c r="F284" s="5" t="s">
        <v>19</v>
      </c>
      <c r="G284" s="5" t="s">
        <v>9</v>
      </c>
      <c r="H284" s="5" t="s">
        <v>14</v>
      </c>
      <c r="I284" s="8" cm="1">
        <f t="array" ref="I284">_xlfn.XLOOKUP(C284,$S$9:$S$11,_xlfn.XLOOKUP(F284,$T$8:$V$8,$T$9:$V$11))</f>
        <v>139.9</v>
      </c>
      <c r="J284" s="7" t="str">
        <f t="shared" si="4"/>
        <v>Somente Ubisoft</v>
      </c>
    </row>
    <row r="285" spans="1:10">
      <c r="A285" s="5" t="s">
        <v>578</v>
      </c>
      <c r="B285" s="6" t="s">
        <v>291</v>
      </c>
      <c r="C285" s="5" t="s">
        <v>8</v>
      </c>
      <c r="D285" s="7" t="s">
        <v>790</v>
      </c>
      <c r="E285" s="5" t="s">
        <v>14</v>
      </c>
      <c r="F285" s="5" t="s">
        <v>15</v>
      </c>
      <c r="G285" s="5" t="s">
        <v>9</v>
      </c>
      <c r="H285" s="5" t="s">
        <v>9</v>
      </c>
      <c r="I285" s="8" cm="1">
        <f t="array" ref="I285">_xlfn.XLOOKUP(C285,$S$9:$S$11,_xlfn.XLOOKUP(F285,$T$8:$V$8,$T$9:$V$11))</f>
        <v>59.9</v>
      </c>
      <c r="J285" s="7" t="str">
        <f t="shared" si="4"/>
        <v>Fortnite + Ubisoft</v>
      </c>
    </row>
    <row r="286" spans="1:10">
      <c r="A286" s="5" t="s">
        <v>579</v>
      </c>
      <c r="B286" s="6" t="s">
        <v>152</v>
      </c>
      <c r="C286" s="5" t="s">
        <v>13</v>
      </c>
      <c r="D286" s="7" t="s">
        <v>790</v>
      </c>
      <c r="E286" s="5" t="s">
        <v>14</v>
      </c>
      <c r="F286" s="5" t="s">
        <v>10</v>
      </c>
      <c r="G286" s="5" t="s">
        <v>14</v>
      </c>
      <c r="H286" s="5" t="s">
        <v>9</v>
      </c>
      <c r="I286" s="8" cm="1">
        <f t="array" ref="I286">_xlfn.XLOOKUP(C286,$S$9:$S$11,_xlfn.XLOOKUP(F286,$T$8:$V$8,$T$9:$V$11))</f>
        <v>278.89999999999998</v>
      </c>
      <c r="J286" s="7" t="str">
        <f t="shared" si="4"/>
        <v>Somente Fortnite</v>
      </c>
    </row>
    <row r="287" spans="1:10">
      <c r="A287" s="5" t="s">
        <v>580</v>
      </c>
      <c r="B287" s="6" t="s">
        <v>153</v>
      </c>
      <c r="C287" s="5" t="s">
        <v>8</v>
      </c>
      <c r="D287" s="7" t="s">
        <v>791</v>
      </c>
      <c r="E287" s="5" t="s">
        <v>9</v>
      </c>
      <c r="F287" s="5" t="s">
        <v>10</v>
      </c>
      <c r="G287" s="5" t="s">
        <v>9</v>
      </c>
      <c r="H287" s="5" t="s">
        <v>9</v>
      </c>
      <c r="I287" s="8" cm="1">
        <f t="array" ref="I287">_xlfn.XLOOKUP(C287,$S$9:$S$11,_xlfn.XLOOKUP(F287,$T$8:$V$8,$T$9:$V$11))</f>
        <v>538.9</v>
      </c>
      <c r="J287" s="7" t="str">
        <f t="shared" si="4"/>
        <v>Fortnite + Ubisoft</v>
      </c>
    </row>
    <row r="288" spans="1:10">
      <c r="A288" s="5" t="s">
        <v>581</v>
      </c>
      <c r="B288" s="6" t="s">
        <v>202</v>
      </c>
      <c r="C288" s="5" t="s">
        <v>13</v>
      </c>
      <c r="D288" s="7" t="s">
        <v>706</v>
      </c>
      <c r="E288" s="5" t="s">
        <v>14</v>
      </c>
      <c r="F288" s="5" t="s">
        <v>15</v>
      </c>
      <c r="G288" s="5" t="s">
        <v>14</v>
      </c>
      <c r="H288" s="5" t="s">
        <v>14</v>
      </c>
      <c r="I288" s="8" cm="1">
        <f t="array" ref="I288">_xlfn.XLOOKUP(C288,$S$9:$S$11,_xlfn.XLOOKUP(F288,$T$8:$V$8,$T$9:$V$11))</f>
        <v>34.9</v>
      </c>
      <c r="J288" s="7" t="str">
        <f t="shared" si="4"/>
        <v>Nenhum Add-on</v>
      </c>
    </row>
    <row r="289" spans="1:10">
      <c r="A289" s="5" t="s">
        <v>582</v>
      </c>
      <c r="B289" s="6" t="s">
        <v>292</v>
      </c>
      <c r="C289" s="5" t="s">
        <v>18</v>
      </c>
      <c r="D289" s="7" t="s">
        <v>767</v>
      </c>
      <c r="E289" s="5" t="s">
        <v>9</v>
      </c>
      <c r="F289" s="5" t="s">
        <v>19</v>
      </c>
      <c r="G289" s="5" t="s">
        <v>9</v>
      </c>
      <c r="H289" s="5" t="s">
        <v>14</v>
      </c>
      <c r="I289" s="8" cm="1">
        <f t="array" ref="I289">_xlfn.XLOOKUP(C289,$S$9:$S$11,_xlfn.XLOOKUP(F289,$T$8:$V$8,$T$9:$V$11))</f>
        <v>139.9</v>
      </c>
      <c r="J289" s="7" t="str">
        <f t="shared" si="4"/>
        <v>Somente Ubisoft</v>
      </c>
    </row>
    <row r="290" spans="1:10">
      <c r="A290" s="5" t="s">
        <v>583</v>
      </c>
      <c r="B290" s="6" t="s">
        <v>293</v>
      </c>
      <c r="C290" s="5" t="s">
        <v>8</v>
      </c>
      <c r="D290" s="7" t="s">
        <v>644</v>
      </c>
      <c r="E290" s="5" t="s">
        <v>9</v>
      </c>
      <c r="F290" s="5" t="s">
        <v>15</v>
      </c>
      <c r="G290" s="5" t="s">
        <v>9</v>
      </c>
      <c r="H290" s="5" t="s">
        <v>9</v>
      </c>
      <c r="I290" s="8" cm="1">
        <f t="array" ref="I290">_xlfn.XLOOKUP(C290,$S$9:$S$11,_xlfn.XLOOKUP(F290,$T$8:$V$8,$T$9:$V$11))</f>
        <v>59.9</v>
      </c>
      <c r="J290" s="7" t="str">
        <f t="shared" si="4"/>
        <v>Fortnite + Ubisoft</v>
      </c>
    </row>
    <row r="291" spans="1:10">
      <c r="A291" s="5" t="s">
        <v>584</v>
      </c>
      <c r="B291" s="6" t="s">
        <v>294</v>
      </c>
      <c r="C291" s="5" t="s">
        <v>13</v>
      </c>
      <c r="D291" s="7" t="s">
        <v>663</v>
      </c>
      <c r="E291" s="5" t="s">
        <v>9</v>
      </c>
      <c r="F291" s="5" t="s">
        <v>10</v>
      </c>
      <c r="G291" s="5" t="s">
        <v>14</v>
      </c>
      <c r="H291" s="5" t="s">
        <v>9</v>
      </c>
      <c r="I291" s="8" cm="1">
        <f t="array" ref="I291">_xlfn.XLOOKUP(C291,$S$9:$S$11,_xlfn.XLOOKUP(F291,$T$8:$V$8,$T$9:$V$11))</f>
        <v>278.89999999999998</v>
      </c>
      <c r="J291" s="7" t="str">
        <f t="shared" si="4"/>
        <v>Somente Fortnite</v>
      </c>
    </row>
    <row r="292" spans="1:10">
      <c r="A292" s="5" t="s">
        <v>585</v>
      </c>
      <c r="B292" s="6" t="s">
        <v>295</v>
      </c>
      <c r="C292" s="5" t="s">
        <v>8</v>
      </c>
      <c r="D292" s="7" t="s">
        <v>748</v>
      </c>
      <c r="E292" s="5" t="s">
        <v>14</v>
      </c>
      <c r="F292" s="5" t="s">
        <v>10</v>
      </c>
      <c r="G292" s="5" t="s">
        <v>9</v>
      </c>
      <c r="H292" s="5" t="s">
        <v>9</v>
      </c>
      <c r="I292" s="8" cm="1">
        <f t="array" ref="I292">_xlfn.XLOOKUP(C292,$S$9:$S$11,_xlfn.XLOOKUP(F292,$T$8:$V$8,$T$9:$V$11))</f>
        <v>538.9</v>
      </c>
      <c r="J292" s="7" t="str">
        <f t="shared" si="4"/>
        <v>Fortnite + Ubisoft</v>
      </c>
    </row>
    <row r="293" spans="1:10">
      <c r="A293" s="5" t="s">
        <v>586</v>
      </c>
      <c r="B293" s="6" t="s">
        <v>296</v>
      </c>
      <c r="C293" s="5" t="s">
        <v>13</v>
      </c>
      <c r="D293" s="7" t="s">
        <v>774</v>
      </c>
      <c r="E293" s="5" t="s">
        <v>14</v>
      </c>
      <c r="F293" s="5" t="s">
        <v>15</v>
      </c>
      <c r="G293" s="5" t="s">
        <v>14</v>
      </c>
      <c r="H293" s="5" t="s">
        <v>14</v>
      </c>
      <c r="I293" s="8" cm="1">
        <f t="array" ref="I293">_xlfn.XLOOKUP(C293,$S$9:$S$11,_xlfn.XLOOKUP(F293,$T$8:$V$8,$T$9:$V$11))</f>
        <v>34.9</v>
      </c>
      <c r="J293" s="7" t="str">
        <f t="shared" si="4"/>
        <v>Nenhum Add-on</v>
      </c>
    </row>
    <row r="294" spans="1:10">
      <c r="A294" s="5" t="s">
        <v>587</v>
      </c>
      <c r="B294" s="6" t="s">
        <v>297</v>
      </c>
      <c r="C294" s="5" t="s">
        <v>18</v>
      </c>
      <c r="D294" s="7" t="s">
        <v>641</v>
      </c>
      <c r="E294" s="5" t="s">
        <v>9</v>
      </c>
      <c r="F294" s="5" t="s">
        <v>19</v>
      </c>
      <c r="G294" s="5" t="s">
        <v>9</v>
      </c>
      <c r="H294" s="5" t="s">
        <v>14</v>
      </c>
      <c r="I294" s="8" cm="1">
        <f t="array" ref="I294">_xlfn.XLOOKUP(C294,$S$9:$S$11,_xlfn.XLOOKUP(F294,$T$8:$V$8,$T$9:$V$11))</f>
        <v>139.9</v>
      </c>
      <c r="J294" s="7" t="str">
        <f t="shared" si="4"/>
        <v>Somente Ubisoft</v>
      </c>
    </row>
    <row r="295" spans="1:10">
      <c r="A295" s="5" t="s">
        <v>588</v>
      </c>
      <c r="B295" s="6" t="s">
        <v>298</v>
      </c>
      <c r="C295" s="5" t="s">
        <v>8</v>
      </c>
      <c r="D295" s="7" t="s">
        <v>633</v>
      </c>
      <c r="E295" s="5" t="s">
        <v>9</v>
      </c>
      <c r="F295" s="5" t="s">
        <v>15</v>
      </c>
      <c r="G295" s="5" t="s">
        <v>9</v>
      </c>
      <c r="H295" s="5" t="s">
        <v>9</v>
      </c>
      <c r="I295" s="8" cm="1">
        <f t="array" ref="I295">_xlfn.XLOOKUP(C295,$S$9:$S$11,_xlfn.XLOOKUP(F295,$T$8:$V$8,$T$9:$V$11))</f>
        <v>59.9</v>
      </c>
      <c r="J295" s="7" t="str">
        <f t="shared" si="4"/>
        <v>Fortnite + Ubisoft</v>
      </c>
    </row>
    <row r="296" spans="1:10">
      <c r="A296" s="5" t="s">
        <v>589</v>
      </c>
      <c r="B296" s="6" t="s">
        <v>299</v>
      </c>
      <c r="C296" s="5" t="s">
        <v>13</v>
      </c>
      <c r="D296" s="7" t="s">
        <v>722</v>
      </c>
      <c r="E296" s="5" t="s">
        <v>14</v>
      </c>
      <c r="F296" s="5" t="s">
        <v>10</v>
      </c>
      <c r="G296" s="5" t="s">
        <v>14</v>
      </c>
      <c r="H296" s="5" t="s">
        <v>9</v>
      </c>
      <c r="I296" s="8" cm="1">
        <f t="array" ref="I296">_xlfn.XLOOKUP(C296,$S$9:$S$11,_xlfn.XLOOKUP(F296,$T$8:$V$8,$T$9:$V$11))</f>
        <v>278.89999999999998</v>
      </c>
      <c r="J296" s="7" t="str">
        <f t="shared" si="4"/>
        <v>Somente Fortnite</v>
      </c>
    </row>
  </sheetData>
  <autoFilter ref="A1:J1" xr:uid="{00000000-0001-0000-0000-000000000000}"/>
  <phoneticPr fontId="4" type="noConversion"/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48DC-D9E1-4BB7-A8BF-FB3814CF241A}">
  <dimension ref="A2:J95"/>
  <sheetViews>
    <sheetView topLeftCell="A49" workbookViewId="0">
      <selection activeCell="B6" sqref="B6:B8"/>
    </sheetView>
  </sheetViews>
  <sheetFormatPr defaultRowHeight="15"/>
  <cols>
    <col min="1" max="1" width="18" bestFit="1" customWidth="1"/>
    <col min="2" max="2" width="25.140625" bestFit="1" customWidth="1"/>
    <col min="3" max="3" width="4.28515625" bestFit="1" customWidth="1"/>
    <col min="4" max="4" width="10.7109375" bestFit="1" customWidth="1"/>
    <col min="5" max="5" width="13.28515625" bestFit="1" customWidth="1"/>
    <col min="7" max="7" width="27.140625" customWidth="1"/>
    <col min="8" max="8" width="26.5703125" customWidth="1"/>
    <col min="9" max="9" width="21.7109375" customWidth="1"/>
    <col min="10" max="10" width="22.42578125" customWidth="1"/>
  </cols>
  <sheetData>
    <row r="2" spans="1:2">
      <c r="A2" t="s">
        <v>816</v>
      </c>
    </row>
    <row r="3" spans="1:2">
      <c r="A3" s="9" t="s">
        <v>792</v>
      </c>
      <c r="B3" t="s">
        <v>822</v>
      </c>
    </row>
    <row r="5" spans="1:2">
      <c r="A5" s="9" t="s">
        <v>813</v>
      </c>
      <c r="B5" t="s">
        <v>815</v>
      </c>
    </row>
    <row r="6" spans="1:2">
      <c r="A6" s="10" t="s">
        <v>10</v>
      </c>
      <c r="B6" s="11">
        <v>48250.200000000099</v>
      </c>
    </row>
    <row r="7" spans="1:2">
      <c r="A7" s="10" t="s">
        <v>15</v>
      </c>
      <c r="B7" s="11">
        <v>5593.1999999999944</v>
      </c>
    </row>
    <row r="8" spans="1:2">
      <c r="A8" s="10" t="s">
        <v>19</v>
      </c>
      <c r="B8" s="11">
        <v>8254.0999999999913</v>
      </c>
    </row>
    <row r="9" spans="1:2">
      <c r="A9" s="10" t="s">
        <v>814</v>
      </c>
      <c r="B9" s="11">
        <v>62097.500000000087</v>
      </c>
    </row>
    <row r="14" spans="1:2" ht="16.5" customHeight="1"/>
    <row r="15" spans="1:2" ht="16.5" customHeight="1"/>
    <row r="18" spans="1:2">
      <c r="A18" t="s">
        <v>819</v>
      </c>
    </row>
    <row r="24" spans="1:2">
      <c r="A24" s="9" t="s">
        <v>792</v>
      </c>
      <c r="B24" t="s">
        <v>822</v>
      </c>
    </row>
    <row r="26" spans="1:2">
      <c r="A26" s="9" t="s">
        <v>813</v>
      </c>
      <c r="B26" t="s">
        <v>818</v>
      </c>
    </row>
    <row r="27" spans="1:2">
      <c r="A27" s="10" t="s">
        <v>8</v>
      </c>
      <c r="B27" s="11">
        <v>118</v>
      </c>
    </row>
    <row r="28" spans="1:2">
      <c r="A28" s="41" t="s">
        <v>10</v>
      </c>
      <c r="B28" s="11">
        <v>59</v>
      </c>
    </row>
    <row r="29" spans="1:2">
      <c r="A29" s="41" t="s">
        <v>15</v>
      </c>
      <c r="B29" s="11">
        <v>59</v>
      </c>
    </row>
    <row r="30" spans="1:2">
      <c r="A30" s="10" t="s">
        <v>13</v>
      </c>
      <c r="B30" s="11">
        <v>118</v>
      </c>
    </row>
    <row r="31" spans="1:2">
      <c r="A31" s="41" t="s">
        <v>10</v>
      </c>
      <c r="B31" s="11">
        <v>59</v>
      </c>
    </row>
    <row r="32" spans="1:2">
      <c r="A32" s="41" t="s">
        <v>15</v>
      </c>
      <c r="B32" s="11">
        <v>59</v>
      </c>
    </row>
    <row r="33" spans="1:2">
      <c r="A33" s="10" t="s">
        <v>18</v>
      </c>
      <c r="B33" s="11">
        <v>59</v>
      </c>
    </row>
    <row r="34" spans="1:2">
      <c r="A34" s="41" t="s">
        <v>19</v>
      </c>
      <c r="B34" s="11">
        <v>59</v>
      </c>
    </row>
    <row r="35" spans="1:2">
      <c r="A35" s="10" t="s">
        <v>814</v>
      </c>
      <c r="B35" s="11">
        <v>295</v>
      </c>
    </row>
    <row r="47" spans="1:2" ht="12.75" customHeight="1"/>
    <row r="49" spans="1:1">
      <c r="A49" t="s">
        <v>824</v>
      </c>
    </row>
    <row r="54" spans="1:1">
      <c r="A54" t="s">
        <v>825</v>
      </c>
    </row>
    <row r="70" spans="1:2">
      <c r="A70" s="9" t="s">
        <v>792</v>
      </c>
      <c r="B70" t="s">
        <v>822</v>
      </c>
    </row>
    <row r="72" spans="1:2">
      <c r="A72" s="9" t="s">
        <v>813</v>
      </c>
      <c r="B72" t="s">
        <v>818</v>
      </c>
    </row>
    <row r="73" spans="1:2">
      <c r="A73" s="10" t="s">
        <v>831</v>
      </c>
      <c r="B73" s="11">
        <v>117</v>
      </c>
    </row>
    <row r="74" spans="1:2">
      <c r="A74" s="10" t="s">
        <v>832</v>
      </c>
      <c r="B74" s="11">
        <v>59</v>
      </c>
    </row>
    <row r="75" spans="1:2">
      <c r="A75" s="10" t="s">
        <v>833</v>
      </c>
      <c r="B75" s="11">
        <v>59</v>
      </c>
    </row>
    <row r="76" spans="1:2">
      <c r="A76" s="10" t="s">
        <v>834</v>
      </c>
      <c r="B76" s="11">
        <v>60</v>
      </c>
    </row>
    <row r="77" spans="1:2">
      <c r="A77" s="10" t="s">
        <v>814</v>
      </c>
      <c r="B77" s="11">
        <v>295</v>
      </c>
    </row>
    <row r="78" spans="1:2" ht="15" customHeight="1"/>
    <row r="79" spans="1:2" ht="15" customHeight="1"/>
    <row r="90" spans="7:10" ht="26.25" customHeight="1">
      <c r="G90" s="35" t="s">
        <v>820</v>
      </c>
      <c r="H90" s="36"/>
      <c r="I90" s="36"/>
      <c r="J90" s="37"/>
    </row>
    <row r="91" spans="7:10" ht="26.25" customHeight="1">
      <c r="G91" s="38"/>
      <c r="H91" s="39"/>
      <c r="I91" s="39"/>
      <c r="J91" s="40"/>
    </row>
    <row r="92" spans="7:10">
      <c r="G92" s="7"/>
      <c r="H92" s="7"/>
      <c r="I92" s="7"/>
      <c r="J92" s="7"/>
    </row>
    <row r="93" spans="7:10">
      <c r="G93" s="7" t="s">
        <v>827</v>
      </c>
      <c r="H93" s="7" t="s">
        <v>826</v>
      </c>
      <c r="I93" s="30" t="s">
        <v>823</v>
      </c>
      <c r="J93" s="30" t="s">
        <v>821</v>
      </c>
    </row>
    <row r="94" spans="7:10">
      <c r="G94" s="7">
        <f>IFERROR(GETPIVOTDATA("ID_Assinante",$A$72,"Cenário_AddOn","Somente Ubisoft"),0)</f>
        <v>60</v>
      </c>
      <c r="H94" s="7">
        <f>IFERROR(GETPIVOTDATA("ID_Assinante",$A$72,"Cenário_AddOn","Somente Fortnite"),0)</f>
        <v>59</v>
      </c>
      <c r="I94" s="7">
        <f>GETPIVOTDATA("ID_Assinante",$A$25)</f>
        <v>295</v>
      </c>
      <c r="J94" s="34">
        <f>IFERROR(GETPIVOTDATA("Valor_Plano",$A$9),GETPIVOTDATA("Valor_Plano",$A$5))</f>
        <v>62097.500000000087</v>
      </c>
    </row>
    <row r="95" spans="7:10">
      <c r="G95" s="7"/>
      <c r="H95" s="7"/>
      <c r="I95" s="7"/>
      <c r="J95" s="7"/>
    </row>
  </sheetData>
  <mergeCells count="1">
    <mergeCell ref="G90:J9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4D8A-AFE3-4937-9E1D-950194EBD694}">
  <dimension ref="A1:N542"/>
  <sheetViews>
    <sheetView tabSelected="1" workbookViewId="0">
      <selection activeCell="A32" sqref="A32"/>
    </sheetView>
  </sheetViews>
  <sheetFormatPr defaultRowHeight="15"/>
  <cols>
    <col min="1" max="1" width="35.42578125" style="32" customWidth="1"/>
  </cols>
  <sheetData>
    <row r="1" spans="1:14" s="33" customFormat="1"/>
    <row r="2" spans="1:14" s="33" customFormat="1" ht="57">
      <c r="B2" s="44" t="s">
        <v>828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4" s="33" customFormat="1" ht="15" customHeight="1">
      <c r="B3" s="42" t="s">
        <v>829</v>
      </c>
    </row>
    <row r="4" spans="1:14" s="31" customFormat="1">
      <c r="A4" s="32"/>
    </row>
    <row r="5" spans="1:14" s="31" customFormat="1">
      <c r="A5" s="32"/>
    </row>
    <row r="6" spans="1:14" s="31" customFormat="1">
      <c r="A6" s="32"/>
    </row>
    <row r="7" spans="1:14" s="31" customFormat="1">
      <c r="A7" s="32"/>
    </row>
    <row r="8" spans="1:14" s="31" customFormat="1">
      <c r="A8" s="32"/>
    </row>
    <row r="9" spans="1:14" s="31" customFormat="1">
      <c r="A9" s="32"/>
    </row>
    <row r="10" spans="1:14" s="31" customFormat="1">
      <c r="A10" s="32"/>
    </row>
    <row r="11" spans="1:14" s="31" customFormat="1">
      <c r="A11" s="32"/>
    </row>
    <row r="12" spans="1:14" s="31" customFormat="1">
      <c r="A12" s="32"/>
    </row>
    <row r="13" spans="1:14" s="31" customFormat="1">
      <c r="A13" s="32"/>
    </row>
    <row r="14" spans="1:14" s="31" customFormat="1">
      <c r="A14" s="32"/>
    </row>
    <row r="15" spans="1:14" s="31" customFormat="1">
      <c r="A15" s="32"/>
    </row>
    <row r="16" spans="1:14" s="31" customFormat="1">
      <c r="A16" s="32"/>
    </row>
    <row r="17" spans="1:1" s="31" customFormat="1">
      <c r="A17" s="32"/>
    </row>
    <row r="18" spans="1:1" s="31" customFormat="1">
      <c r="A18" s="32"/>
    </row>
    <row r="19" spans="1:1" s="31" customFormat="1">
      <c r="A19" s="32"/>
    </row>
    <row r="20" spans="1:1" s="31" customFormat="1">
      <c r="A20" s="32"/>
    </row>
    <row r="21" spans="1:1" s="31" customFormat="1">
      <c r="A21" s="32"/>
    </row>
    <row r="22" spans="1:1" s="31" customFormat="1">
      <c r="A22" s="32"/>
    </row>
    <row r="23" spans="1:1" s="31" customFormat="1">
      <c r="A23" s="32"/>
    </row>
    <row r="24" spans="1:1" s="31" customFormat="1">
      <c r="A24" s="32"/>
    </row>
    <row r="25" spans="1:1" s="31" customFormat="1">
      <c r="A25" s="32"/>
    </row>
    <row r="26" spans="1:1" s="31" customFormat="1">
      <c r="A26" s="32"/>
    </row>
    <row r="27" spans="1:1" s="31" customFormat="1">
      <c r="A27" s="32"/>
    </row>
    <row r="28" spans="1:1" s="31" customFormat="1">
      <c r="A28" s="32"/>
    </row>
    <row r="29" spans="1:1" s="31" customFormat="1">
      <c r="A29" s="32"/>
    </row>
    <row r="30" spans="1:1" s="31" customFormat="1">
      <c r="A30" s="32"/>
    </row>
    <row r="31" spans="1:1" s="31" customFormat="1">
      <c r="A31" s="32"/>
    </row>
    <row r="32" spans="1:1" s="31" customFormat="1">
      <c r="A32" s="32"/>
    </row>
    <row r="33" spans="1:1" s="31" customFormat="1">
      <c r="A33" s="32"/>
    </row>
    <row r="34" spans="1:1" s="31" customFormat="1">
      <c r="A34" s="32"/>
    </row>
    <row r="35" spans="1:1" s="31" customFormat="1">
      <c r="A35" s="32"/>
    </row>
    <row r="36" spans="1:1" s="31" customFormat="1">
      <c r="A36" s="32"/>
    </row>
    <row r="37" spans="1:1" s="31" customFormat="1">
      <c r="A37" s="32"/>
    </row>
    <row r="38" spans="1:1" s="31" customFormat="1">
      <c r="A38" s="32"/>
    </row>
    <row r="39" spans="1:1" s="31" customFormat="1">
      <c r="A39" s="32"/>
    </row>
    <row r="40" spans="1:1" s="31" customFormat="1">
      <c r="A40" s="32"/>
    </row>
    <row r="41" spans="1:1" s="31" customFormat="1">
      <c r="A41" s="32"/>
    </row>
    <row r="42" spans="1:1" s="31" customFormat="1">
      <c r="A42" s="32"/>
    </row>
    <row r="43" spans="1:1" s="31" customFormat="1">
      <c r="A43" s="32"/>
    </row>
    <row r="44" spans="1:1" s="31" customFormat="1">
      <c r="A44" s="32"/>
    </row>
    <row r="45" spans="1:1" s="31" customFormat="1">
      <c r="A45" s="32"/>
    </row>
    <row r="46" spans="1:1" s="31" customFormat="1">
      <c r="A46" s="32"/>
    </row>
    <row r="47" spans="1:1" s="31" customFormat="1">
      <c r="A47" s="32"/>
    </row>
    <row r="48" spans="1:1" s="31" customFormat="1">
      <c r="A48" s="32"/>
    </row>
    <row r="49" spans="1:1" s="31" customFormat="1">
      <c r="A49" s="32"/>
    </row>
    <row r="50" spans="1:1" s="31" customFormat="1">
      <c r="A50" s="32"/>
    </row>
    <row r="51" spans="1:1" s="31" customFormat="1">
      <c r="A51" s="32"/>
    </row>
    <row r="52" spans="1:1" s="31" customFormat="1">
      <c r="A52" s="32"/>
    </row>
    <row r="53" spans="1:1" s="31" customFormat="1">
      <c r="A53" s="32"/>
    </row>
    <row r="54" spans="1:1" s="31" customFormat="1">
      <c r="A54" s="32"/>
    </row>
    <row r="55" spans="1:1" s="31" customFormat="1">
      <c r="A55" s="32"/>
    </row>
    <row r="56" spans="1:1" s="31" customFormat="1">
      <c r="A56" s="32"/>
    </row>
    <row r="57" spans="1:1" s="31" customFormat="1">
      <c r="A57" s="32"/>
    </row>
    <row r="58" spans="1:1" s="31" customFormat="1">
      <c r="A58" s="32"/>
    </row>
    <row r="59" spans="1:1" s="31" customFormat="1">
      <c r="A59" s="32"/>
    </row>
    <row r="60" spans="1:1" s="31" customFormat="1">
      <c r="A60" s="32"/>
    </row>
    <row r="61" spans="1:1" s="31" customFormat="1">
      <c r="A61" s="32"/>
    </row>
    <row r="62" spans="1:1" s="31" customFormat="1">
      <c r="A62" s="32"/>
    </row>
    <row r="63" spans="1:1" s="31" customFormat="1">
      <c r="A63" s="32"/>
    </row>
    <row r="64" spans="1:1" s="31" customFormat="1">
      <c r="A64" s="32"/>
    </row>
    <row r="65" spans="1:1" s="31" customFormat="1">
      <c r="A65" s="32"/>
    </row>
    <row r="66" spans="1:1" s="31" customFormat="1">
      <c r="A66" s="32"/>
    </row>
    <row r="67" spans="1:1" s="31" customFormat="1">
      <c r="A67" s="32"/>
    </row>
    <row r="68" spans="1:1" s="31" customFormat="1">
      <c r="A68" s="32"/>
    </row>
    <row r="69" spans="1:1" s="31" customFormat="1">
      <c r="A69" s="32"/>
    </row>
    <row r="70" spans="1:1" s="31" customFormat="1">
      <c r="A70" s="32"/>
    </row>
    <row r="71" spans="1:1" s="31" customFormat="1">
      <c r="A71" s="32"/>
    </row>
    <row r="72" spans="1:1" s="31" customFormat="1">
      <c r="A72" s="32"/>
    </row>
    <row r="73" spans="1:1" s="31" customFormat="1">
      <c r="A73" s="32"/>
    </row>
    <row r="74" spans="1:1" s="31" customFormat="1">
      <c r="A74" s="32"/>
    </row>
    <row r="75" spans="1:1" s="31" customFormat="1">
      <c r="A75" s="32"/>
    </row>
    <row r="76" spans="1:1" s="31" customFormat="1">
      <c r="A76" s="32"/>
    </row>
    <row r="77" spans="1:1" s="31" customFormat="1">
      <c r="A77" s="32"/>
    </row>
    <row r="78" spans="1:1" s="31" customFormat="1">
      <c r="A78" s="32"/>
    </row>
    <row r="79" spans="1:1" s="31" customFormat="1">
      <c r="A79" s="32"/>
    </row>
    <row r="80" spans="1:1" s="31" customFormat="1">
      <c r="A80" s="32"/>
    </row>
    <row r="81" spans="1:1" s="31" customFormat="1">
      <c r="A81" s="32"/>
    </row>
    <row r="82" spans="1:1" s="31" customFormat="1">
      <c r="A82" s="32"/>
    </row>
    <row r="83" spans="1:1" s="31" customFormat="1">
      <c r="A83" s="32"/>
    </row>
    <row r="84" spans="1:1" s="31" customFormat="1">
      <c r="A84" s="32"/>
    </row>
    <row r="85" spans="1:1" s="31" customFormat="1">
      <c r="A85" s="32"/>
    </row>
    <row r="86" spans="1:1" s="31" customFormat="1">
      <c r="A86" s="32"/>
    </row>
    <row r="87" spans="1:1" s="31" customFormat="1">
      <c r="A87" s="32"/>
    </row>
    <row r="88" spans="1:1" s="31" customFormat="1">
      <c r="A88" s="32"/>
    </row>
    <row r="89" spans="1:1" s="31" customFormat="1">
      <c r="A89" s="32"/>
    </row>
    <row r="90" spans="1:1" s="31" customFormat="1">
      <c r="A90" s="32"/>
    </row>
    <row r="91" spans="1:1" s="31" customFormat="1">
      <c r="A91" s="32"/>
    </row>
    <row r="92" spans="1:1" s="31" customFormat="1">
      <c r="A92" s="32"/>
    </row>
    <row r="93" spans="1:1" s="31" customFormat="1">
      <c r="A93" s="32"/>
    </row>
    <row r="94" spans="1:1" s="31" customFormat="1">
      <c r="A94" s="32"/>
    </row>
    <row r="95" spans="1:1" s="31" customFormat="1">
      <c r="A95" s="32"/>
    </row>
    <row r="96" spans="1:1" s="31" customFormat="1">
      <c r="A96" s="32"/>
    </row>
    <row r="97" spans="1:1" s="31" customFormat="1">
      <c r="A97" s="32"/>
    </row>
    <row r="98" spans="1:1" s="31" customFormat="1">
      <c r="A98" s="32"/>
    </row>
    <row r="99" spans="1:1" s="31" customFormat="1">
      <c r="A99" s="32"/>
    </row>
    <row r="100" spans="1:1" s="31" customFormat="1">
      <c r="A100" s="32"/>
    </row>
    <row r="101" spans="1:1" s="31" customFormat="1">
      <c r="A101" s="32"/>
    </row>
    <row r="102" spans="1:1" s="31" customFormat="1">
      <c r="A102" s="32"/>
    </row>
    <row r="103" spans="1:1" s="31" customFormat="1">
      <c r="A103" s="32"/>
    </row>
    <row r="104" spans="1:1" s="31" customFormat="1">
      <c r="A104" s="32"/>
    </row>
    <row r="105" spans="1:1" s="31" customFormat="1">
      <c r="A105" s="32"/>
    </row>
    <row r="106" spans="1:1" s="31" customFormat="1">
      <c r="A106" s="32"/>
    </row>
    <row r="107" spans="1:1" s="31" customFormat="1">
      <c r="A107" s="32"/>
    </row>
    <row r="108" spans="1:1" s="31" customFormat="1">
      <c r="A108" s="32"/>
    </row>
    <row r="109" spans="1:1" s="31" customFormat="1">
      <c r="A109" s="32"/>
    </row>
    <row r="110" spans="1:1" s="31" customFormat="1">
      <c r="A110" s="32"/>
    </row>
    <row r="111" spans="1:1" s="31" customFormat="1">
      <c r="A111" s="32"/>
    </row>
    <row r="112" spans="1:1" s="31" customFormat="1">
      <c r="A112" s="32"/>
    </row>
    <row r="113" spans="1:1" s="31" customFormat="1">
      <c r="A113" s="32"/>
    </row>
    <row r="114" spans="1:1" s="31" customFormat="1">
      <c r="A114" s="32"/>
    </row>
    <row r="115" spans="1:1" s="31" customFormat="1">
      <c r="A115" s="32"/>
    </row>
    <row r="116" spans="1:1" s="31" customFormat="1">
      <c r="A116" s="32"/>
    </row>
    <row r="117" spans="1:1" s="31" customFormat="1">
      <c r="A117" s="32"/>
    </row>
    <row r="118" spans="1:1" s="31" customFormat="1">
      <c r="A118" s="32"/>
    </row>
    <row r="119" spans="1:1" s="31" customFormat="1">
      <c r="A119" s="32"/>
    </row>
    <row r="120" spans="1:1" s="31" customFormat="1">
      <c r="A120" s="32"/>
    </row>
    <row r="121" spans="1:1" s="31" customFormat="1">
      <c r="A121" s="32"/>
    </row>
    <row r="122" spans="1:1" s="31" customFormat="1">
      <c r="A122" s="32"/>
    </row>
    <row r="123" spans="1:1" s="31" customFormat="1">
      <c r="A123" s="32"/>
    </row>
    <row r="124" spans="1:1" s="31" customFormat="1">
      <c r="A124" s="32"/>
    </row>
    <row r="125" spans="1:1" s="31" customFormat="1">
      <c r="A125" s="32"/>
    </row>
    <row r="126" spans="1:1" s="31" customFormat="1">
      <c r="A126" s="32"/>
    </row>
    <row r="127" spans="1:1" s="31" customFormat="1">
      <c r="A127" s="32"/>
    </row>
    <row r="128" spans="1:1" s="31" customFormat="1">
      <c r="A128" s="32"/>
    </row>
    <row r="129" spans="1:1" s="31" customFormat="1">
      <c r="A129" s="32"/>
    </row>
    <row r="130" spans="1:1" s="31" customFormat="1">
      <c r="A130" s="32"/>
    </row>
    <row r="131" spans="1:1" s="31" customFormat="1">
      <c r="A131" s="32"/>
    </row>
    <row r="132" spans="1:1" s="31" customFormat="1">
      <c r="A132" s="32"/>
    </row>
    <row r="133" spans="1:1" s="31" customFormat="1">
      <c r="A133" s="32"/>
    </row>
    <row r="134" spans="1:1" s="31" customFormat="1">
      <c r="A134" s="32"/>
    </row>
    <row r="135" spans="1:1" s="31" customFormat="1">
      <c r="A135" s="32"/>
    </row>
    <row r="136" spans="1:1" s="31" customFormat="1">
      <c r="A136" s="32"/>
    </row>
    <row r="137" spans="1:1" s="31" customFormat="1">
      <c r="A137" s="32"/>
    </row>
    <row r="138" spans="1:1" s="31" customFormat="1">
      <c r="A138" s="32"/>
    </row>
    <row r="139" spans="1:1" s="31" customFormat="1">
      <c r="A139" s="32"/>
    </row>
    <row r="140" spans="1:1" s="31" customFormat="1">
      <c r="A140" s="32"/>
    </row>
    <row r="141" spans="1:1" s="31" customFormat="1">
      <c r="A141" s="32"/>
    </row>
    <row r="142" spans="1:1" s="31" customFormat="1">
      <c r="A142" s="32"/>
    </row>
    <row r="143" spans="1:1" s="31" customFormat="1">
      <c r="A143" s="32"/>
    </row>
    <row r="144" spans="1:1" s="31" customFormat="1">
      <c r="A144" s="32"/>
    </row>
    <row r="145" spans="1:1" s="31" customFormat="1">
      <c r="A145" s="32"/>
    </row>
    <row r="146" spans="1:1" s="31" customFormat="1">
      <c r="A146" s="32"/>
    </row>
    <row r="147" spans="1:1" s="31" customFormat="1">
      <c r="A147" s="32"/>
    </row>
    <row r="148" spans="1:1" s="31" customFormat="1">
      <c r="A148" s="32"/>
    </row>
    <row r="149" spans="1:1" s="31" customFormat="1">
      <c r="A149" s="32"/>
    </row>
    <row r="150" spans="1:1" s="31" customFormat="1">
      <c r="A150" s="32"/>
    </row>
    <row r="151" spans="1:1" s="31" customFormat="1">
      <c r="A151" s="32"/>
    </row>
    <row r="152" spans="1:1" s="31" customFormat="1">
      <c r="A152" s="32"/>
    </row>
    <row r="153" spans="1:1" s="31" customFormat="1">
      <c r="A153" s="32"/>
    </row>
    <row r="154" spans="1:1" s="31" customFormat="1">
      <c r="A154" s="32"/>
    </row>
    <row r="155" spans="1:1" s="31" customFormat="1">
      <c r="A155" s="32"/>
    </row>
    <row r="156" spans="1:1" s="31" customFormat="1">
      <c r="A156" s="32"/>
    </row>
    <row r="157" spans="1:1" s="31" customFormat="1">
      <c r="A157" s="32"/>
    </row>
    <row r="158" spans="1:1" s="31" customFormat="1">
      <c r="A158" s="32"/>
    </row>
    <row r="159" spans="1:1" s="31" customFormat="1">
      <c r="A159" s="32"/>
    </row>
    <row r="160" spans="1:1" s="31" customFormat="1">
      <c r="A160" s="32"/>
    </row>
    <row r="161" spans="1:1" s="31" customFormat="1">
      <c r="A161" s="32"/>
    </row>
    <row r="162" spans="1:1" s="31" customFormat="1">
      <c r="A162" s="32"/>
    </row>
    <row r="163" spans="1:1" s="31" customFormat="1">
      <c r="A163" s="32"/>
    </row>
    <row r="164" spans="1:1" s="31" customFormat="1">
      <c r="A164" s="32"/>
    </row>
    <row r="165" spans="1:1" s="31" customFormat="1">
      <c r="A165" s="32"/>
    </row>
    <row r="166" spans="1:1" s="31" customFormat="1">
      <c r="A166" s="32"/>
    </row>
    <row r="167" spans="1:1" s="31" customFormat="1">
      <c r="A167" s="32"/>
    </row>
    <row r="168" spans="1:1" s="31" customFormat="1">
      <c r="A168" s="32"/>
    </row>
    <row r="169" spans="1:1" s="31" customFormat="1">
      <c r="A169" s="32"/>
    </row>
    <row r="170" spans="1:1" s="31" customFormat="1">
      <c r="A170" s="32"/>
    </row>
    <row r="171" spans="1:1" s="31" customFormat="1">
      <c r="A171" s="32"/>
    </row>
    <row r="172" spans="1:1" s="31" customFormat="1">
      <c r="A172" s="32"/>
    </row>
    <row r="173" spans="1:1" s="31" customFormat="1">
      <c r="A173" s="32"/>
    </row>
    <row r="174" spans="1:1" s="31" customFormat="1">
      <c r="A174" s="32"/>
    </row>
    <row r="175" spans="1:1" s="31" customFormat="1">
      <c r="A175" s="32"/>
    </row>
    <row r="176" spans="1:1" s="31" customFormat="1">
      <c r="A176" s="32"/>
    </row>
    <row r="177" spans="1:1" s="31" customFormat="1">
      <c r="A177" s="32"/>
    </row>
    <row r="178" spans="1:1" s="31" customFormat="1">
      <c r="A178" s="32"/>
    </row>
    <row r="179" spans="1:1" s="31" customFormat="1">
      <c r="A179" s="32"/>
    </row>
    <row r="180" spans="1:1" s="31" customFormat="1">
      <c r="A180" s="32"/>
    </row>
    <row r="181" spans="1:1" s="31" customFormat="1">
      <c r="A181" s="32"/>
    </row>
    <row r="182" spans="1:1" s="31" customFormat="1">
      <c r="A182" s="32"/>
    </row>
    <row r="183" spans="1:1" s="31" customFormat="1">
      <c r="A183" s="32"/>
    </row>
    <row r="184" spans="1:1" s="31" customFormat="1">
      <c r="A184" s="32"/>
    </row>
    <row r="185" spans="1:1" s="31" customFormat="1">
      <c r="A185" s="32"/>
    </row>
    <row r="186" spans="1:1" s="31" customFormat="1">
      <c r="A186" s="32"/>
    </row>
    <row r="187" spans="1:1" s="31" customFormat="1">
      <c r="A187" s="32"/>
    </row>
    <row r="188" spans="1:1" s="31" customFormat="1">
      <c r="A188" s="32"/>
    </row>
    <row r="189" spans="1:1" s="31" customFormat="1">
      <c r="A189" s="32"/>
    </row>
    <row r="190" spans="1:1" s="31" customFormat="1">
      <c r="A190" s="32"/>
    </row>
    <row r="191" spans="1:1" s="31" customFormat="1">
      <c r="A191" s="32"/>
    </row>
    <row r="192" spans="1:1" s="31" customFormat="1">
      <c r="A192" s="32"/>
    </row>
    <row r="193" spans="1:1" s="31" customFormat="1">
      <c r="A193" s="32"/>
    </row>
    <row r="194" spans="1:1" s="31" customFormat="1">
      <c r="A194" s="32"/>
    </row>
    <row r="195" spans="1:1" s="31" customFormat="1">
      <c r="A195" s="32"/>
    </row>
    <row r="196" spans="1:1" s="31" customFormat="1">
      <c r="A196" s="32"/>
    </row>
    <row r="197" spans="1:1" s="31" customFormat="1">
      <c r="A197" s="32"/>
    </row>
    <row r="198" spans="1:1" s="31" customFormat="1">
      <c r="A198" s="32"/>
    </row>
    <row r="199" spans="1:1" s="31" customFormat="1">
      <c r="A199" s="32"/>
    </row>
    <row r="200" spans="1:1" s="31" customFormat="1">
      <c r="A200" s="32"/>
    </row>
    <row r="201" spans="1:1" s="31" customFormat="1">
      <c r="A201" s="32"/>
    </row>
    <row r="202" spans="1:1" s="31" customFormat="1">
      <c r="A202" s="32"/>
    </row>
    <row r="203" spans="1:1" s="31" customFormat="1">
      <c r="A203" s="32"/>
    </row>
    <row r="204" spans="1:1" s="31" customFormat="1">
      <c r="A204" s="32"/>
    </row>
    <row r="205" spans="1:1" s="31" customFormat="1">
      <c r="A205" s="32"/>
    </row>
    <row r="206" spans="1:1" s="31" customFormat="1">
      <c r="A206" s="32"/>
    </row>
    <row r="207" spans="1:1" s="31" customFormat="1">
      <c r="A207" s="32"/>
    </row>
    <row r="208" spans="1:1" s="31" customFormat="1">
      <c r="A208" s="32"/>
    </row>
    <row r="209" spans="1:1" s="31" customFormat="1">
      <c r="A209" s="32"/>
    </row>
    <row r="210" spans="1:1" s="31" customFormat="1">
      <c r="A210" s="32"/>
    </row>
    <row r="211" spans="1:1" s="31" customFormat="1">
      <c r="A211" s="32"/>
    </row>
    <row r="212" spans="1:1" s="31" customFormat="1">
      <c r="A212" s="32"/>
    </row>
    <row r="213" spans="1:1" s="31" customFormat="1">
      <c r="A213" s="32"/>
    </row>
    <row r="214" spans="1:1" s="31" customFormat="1">
      <c r="A214" s="32"/>
    </row>
    <row r="215" spans="1:1" s="31" customFormat="1">
      <c r="A215" s="32"/>
    </row>
    <row r="216" spans="1:1" s="31" customFormat="1">
      <c r="A216" s="32"/>
    </row>
    <row r="217" spans="1:1" s="31" customFormat="1">
      <c r="A217" s="32"/>
    </row>
    <row r="218" spans="1:1" s="31" customFormat="1">
      <c r="A218" s="32"/>
    </row>
    <row r="219" spans="1:1" s="31" customFormat="1">
      <c r="A219" s="32"/>
    </row>
    <row r="220" spans="1:1" s="31" customFormat="1">
      <c r="A220" s="32"/>
    </row>
    <row r="221" spans="1:1" s="31" customFormat="1">
      <c r="A221" s="32"/>
    </row>
    <row r="222" spans="1:1" s="31" customFormat="1">
      <c r="A222" s="32"/>
    </row>
    <row r="223" spans="1:1" s="31" customFormat="1">
      <c r="A223" s="32"/>
    </row>
    <row r="224" spans="1:1" s="31" customFormat="1">
      <c r="A224" s="32"/>
    </row>
    <row r="225" spans="1:1" s="31" customFormat="1">
      <c r="A225" s="32"/>
    </row>
    <row r="226" spans="1:1" s="31" customFormat="1">
      <c r="A226" s="32"/>
    </row>
    <row r="227" spans="1:1" s="31" customFormat="1">
      <c r="A227" s="32"/>
    </row>
    <row r="228" spans="1:1" s="31" customFormat="1">
      <c r="A228" s="32"/>
    </row>
    <row r="229" spans="1:1" s="31" customFormat="1">
      <c r="A229" s="32"/>
    </row>
    <row r="230" spans="1:1" s="31" customFormat="1">
      <c r="A230" s="32"/>
    </row>
    <row r="231" spans="1:1" s="31" customFormat="1">
      <c r="A231" s="32"/>
    </row>
    <row r="232" spans="1:1" s="31" customFormat="1">
      <c r="A232" s="32"/>
    </row>
    <row r="233" spans="1:1" s="31" customFormat="1">
      <c r="A233" s="32"/>
    </row>
    <row r="234" spans="1:1" s="31" customFormat="1">
      <c r="A234" s="32"/>
    </row>
    <row r="235" spans="1:1" s="31" customFormat="1">
      <c r="A235" s="32"/>
    </row>
    <row r="236" spans="1:1" s="31" customFormat="1">
      <c r="A236" s="32"/>
    </row>
    <row r="237" spans="1:1" s="31" customFormat="1">
      <c r="A237" s="32"/>
    </row>
    <row r="238" spans="1:1" s="31" customFormat="1">
      <c r="A238" s="32"/>
    </row>
    <row r="239" spans="1:1" s="31" customFormat="1">
      <c r="A239" s="32"/>
    </row>
    <row r="240" spans="1:1" s="31" customFormat="1">
      <c r="A240" s="32"/>
    </row>
    <row r="241" spans="1:1" s="31" customFormat="1">
      <c r="A241" s="32"/>
    </row>
    <row r="242" spans="1:1" s="31" customFormat="1">
      <c r="A242" s="32"/>
    </row>
    <row r="243" spans="1:1" s="31" customFormat="1">
      <c r="A243" s="32"/>
    </row>
    <row r="244" spans="1:1" s="31" customFormat="1">
      <c r="A244" s="32"/>
    </row>
    <row r="245" spans="1:1" s="31" customFormat="1">
      <c r="A245" s="32"/>
    </row>
    <row r="246" spans="1:1" s="31" customFormat="1">
      <c r="A246" s="32"/>
    </row>
    <row r="247" spans="1:1" s="31" customFormat="1">
      <c r="A247" s="32"/>
    </row>
    <row r="248" spans="1:1" s="31" customFormat="1">
      <c r="A248" s="32"/>
    </row>
    <row r="249" spans="1:1" s="31" customFormat="1">
      <c r="A249" s="32"/>
    </row>
    <row r="250" spans="1:1" s="31" customFormat="1">
      <c r="A250" s="32"/>
    </row>
    <row r="251" spans="1:1" s="31" customFormat="1">
      <c r="A251" s="32"/>
    </row>
    <row r="252" spans="1:1" s="31" customFormat="1">
      <c r="A252" s="32"/>
    </row>
    <row r="253" spans="1:1" s="31" customFormat="1">
      <c r="A253" s="32"/>
    </row>
    <row r="254" spans="1:1" s="31" customFormat="1">
      <c r="A254" s="32"/>
    </row>
    <row r="255" spans="1:1" s="31" customFormat="1">
      <c r="A255" s="32"/>
    </row>
    <row r="256" spans="1:1" s="31" customFormat="1">
      <c r="A256" s="32"/>
    </row>
    <row r="257" spans="1:1" s="31" customFormat="1">
      <c r="A257" s="32"/>
    </row>
    <row r="258" spans="1:1" s="31" customFormat="1">
      <c r="A258" s="32"/>
    </row>
    <row r="259" spans="1:1" s="31" customFormat="1">
      <c r="A259" s="32"/>
    </row>
    <row r="260" spans="1:1" s="31" customFormat="1">
      <c r="A260" s="32"/>
    </row>
    <row r="261" spans="1:1" s="31" customFormat="1">
      <c r="A261" s="32"/>
    </row>
    <row r="262" spans="1:1" s="31" customFormat="1">
      <c r="A262" s="32"/>
    </row>
    <row r="263" spans="1:1" s="31" customFormat="1">
      <c r="A263" s="32"/>
    </row>
    <row r="264" spans="1:1" s="31" customFormat="1">
      <c r="A264" s="32"/>
    </row>
    <row r="265" spans="1:1" s="31" customFormat="1">
      <c r="A265" s="32"/>
    </row>
    <row r="266" spans="1:1" s="31" customFormat="1">
      <c r="A266" s="32"/>
    </row>
    <row r="267" spans="1:1" s="31" customFormat="1">
      <c r="A267" s="32"/>
    </row>
    <row r="268" spans="1:1" s="31" customFormat="1">
      <c r="A268" s="32"/>
    </row>
    <row r="269" spans="1:1" s="31" customFormat="1">
      <c r="A269" s="32"/>
    </row>
    <row r="270" spans="1:1" s="31" customFormat="1">
      <c r="A270" s="32"/>
    </row>
    <row r="271" spans="1:1" s="31" customFormat="1">
      <c r="A271" s="32"/>
    </row>
    <row r="272" spans="1:1" s="31" customFormat="1">
      <c r="A272" s="32"/>
    </row>
    <row r="273" spans="1:1" s="31" customFormat="1">
      <c r="A273" s="32"/>
    </row>
    <row r="274" spans="1:1" s="31" customFormat="1">
      <c r="A274" s="32"/>
    </row>
    <row r="275" spans="1:1" s="31" customFormat="1">
      <c r="A275" s="32"/>
    </row>
    <row r="276" spans="1:1" s="31" customFormat="1">
      <c r="A276" s="32"/>
    </row>
    <row r="277" spans="1:1" s="31" customFormat="1">
      <c r="A277" s="32"/>
    </row>
    <row r="278" spans="1:1" s="31" customFormat="1">
      <c r="A278" s="32"/>
    </row>
    <row r="279" spans="1:1" s="31" customFormat="1">
      <c r="A279" s="32"/>
    </row>
    <row r="280" spans="1:1" s="31" customFormat="1">
      <c r="A280" s="32"/>
    </row>
    <row r="281" spans="1:1" s="31" customFormat="1">
      <c r="A281" s="32"/>
    </row>
    <row r="282" spans="1:1" s="31" customFormat="1">
      <c r="A282" s="32"/>
    </row>
    <row r="283" spans="1:1" s="31" customFormat="1">
      <c r="A283" s="32"/>
    </row>
    <row r="284" spans="1:1" s="31" customFormat="1">
      <c r="A284" s="32"/>
    </row>
    <row r="285" spans="1:1" s="31" customFormat="1">
      <c r="A285" s="32"/>
    </row>
    <row r="286" spans="1:1" s="31" customFormat="1">
      <c r="A286" s="32"/>
    </row>
    <row r="287" spans="1:1" s="31" customFormat="1">
      <c r="A287" s="32"/>
    </row>
    <row r="288" spans="1:1" s="31" customFormat="1">
      <c r="A288" s="32"/>
    </row>
    <row r="289" spans="1:1" s="31" customFormat="1">
      <c r="A289" s="32"/>
    </row>
    <row r="290" spans="1:1" s="31" customFormat="1">
      <c r="A290" s="32"/>
    </row>
    <row r="291" spans="1:1" s="31" customFormat="1">
      <c r="A291" s="32"/>
    </row>
    <row r="292" spans="1:1" s="31" customFormat="1">
      <c r="A292" s="32"/>
    </row>
    <row r="293" spans="1:1" s="31" customFormat="1">
      <c r="A293" s="32"/>
    </row>
    <row r="294" spans="1:1" s="31" customFormat="1">
      <c r="A294" s="32"/>
    </row>
    <row r="295" spans="1:1" s="31" customFormat="1">
      <c r="A295" s="32"/>
    </row>
    <row r="296" spans="1:1" s="31" customFormat="1">
      <c r="A296" s="32"/>
    </row>
    <row r="297" spans="1:1" s="31" customFormat="1">
      <c r="A297" s="32"/>
    </row>
    <row r="298" spans="1:1" s="31" customFormat="1">
      <c r="A298" s="32"/>
    </row>
    <row r="299" spans="1:1" s="31" customFormat="1">
      <c r="A299" s="32"/>
    </row>
    <row r="300" spans="1:1" s="31" customFormat="1">
      <c r="A300" s="32"/>
    </row>
    <row r="301" spans="1:1" s="31" customFormat="1">
      <c r="A301" s="32"/>
    </row>
    <row r="302" spans="1:1" s="31" customFormat="1">
      <c r="A302" s="32"/>
    </row>
    <row r="303" spans="1:1" s="31" customFormat="1">
      <c r="A303" s="32"/>
    </row>
    <row r="304" spans="1:1" s="31" customFormat="1">
      <c r="A304" s="32"/>
    </row>
    <row r="305" spans="1:1" s="31" customFormat="1">
      <c r="A305" s="32"/>
    </row>
    <row r="306" spans="1:1" s="31" customFormat="1">
      <c r="A306" s="32"/>
    </row>
    <row r="307" spans="1:1" s="31" customFormat="1">
      <c r="A307" s="32"/>
    </row>
    <row r="308" spans="1:1" s="31" customFormat="1">
      <c r="A308" s="32"/>
    </row>
    <row r="309" spans="1:1" s="31" customFormat="1">
      <c r="A309" s="32"/>
    </row>
    <row r="310" spans="1:1" s="31" customFormat="1">
      <c r="A310" s="32"/>
    </row>
    <row r="311" spans="1:1" s="31" customFormat="1">
      <c r="A311" s="32"/>
    </row>
    <row r="312" spans="1:1" s="31" customFormat="1">
      <c r="A312" s="32"/>
    </row>
    <row r="313" spans="1:1" s="31" customFormat="1">
      <c r="A313" s="32"/>
    </row>
    <row r="314" spans="1:1" s="31" customFormat="1">
      <c r="A314" s="32"/>
    </row>
    <row r="315" spans="1:1" s="31" customFormat="1">
      <c r="A315" s="32"/>
    </row>
    <row r="316" spans="1:1" s="31" customFormat="1">
      <c r="A316" s="32"/>
    </row>
    <row r="317" spans="1:1" s="31" customFormat="1">
      <c r="A317" s="32"/>
    </row>
    <row r="318" spans="1:1" s="31" customFormat="1">
      <c r="A318" s="32"/>
    </row>
    <row r="319" spans="1:1" s="31" customFormat="1">
      <c r="A319" s="32"/>
    </row>
    <row r="320" spans="1:1" s="31" customFormat="1">
      <c r="A320" s="32"/>
    </row>
    <row r="321" spans="1:1" s="31" customFormat="1">
      <c r="A321" s="32"/>
    </row>
    <row r="322" spans="1:1" s="31" customFormat="1">
      <c r="A322" s="32"/>
    </row>
    <row r="323" spans="1:1" s="31" customFormat="1">
      <c r="A323" s="32"/>
    </row>
    <row r="324" spans="1:1" s="31" customFormat="1">
      <c r="A324" s="32"/>
    </row>
    <row r="325" spans="1:1" s="31" customFormat="1">
      <c r="A325" s="32"/>
    </row>
    <row r="326" spans="1:1" s="31" customFormat="1">
      <c r="A326" s="32"/>
    </row>
    <row r="327" spans="1:1" s="31" customFormat="1">
      <c r="A327" s="32"/>
    </row>
    <row r="328" spans="1:1" s="31" customFormat="1">
      <c r="A328" s="32"/>
    </row>
    <row r="329" spans="1:1" s="31" customFormat="1">
      <c r="A329" s="32"/>
    </row>
    <row r="330" spans="1:1" s="31" customFormat="1">
      <c r="A330" s="32"/>
    </row>
    <row r="331" spans="1:1" s="31" customFormat="1">
      <c r="A331" s="32"/>
    </row>
    <row r="332" spans="1:1" s="31" customFormat="1">
      <c r="A332" s="32"/>
    </row>
    <row r="333" spans="1:1" s="31" customFormat="1">
      <c r="A333" s="32"/>
    </row>
    <row r="334" spans="1:1" s="31" customFormat="1">
      <c r="A334" s="32"/>
    </row>
    <row r="335" spans="1:1" s="31" customFormat="1">
      <c r="A335" s="32"/>
    </row>
    <row r="336" spans="1:1" s="31" customFormat="1">
      <c r="A336" s="32"/>
    </row>
    <row r="337" spans="1:1" s="31" customFormat="1">
      <c r="A337" s="32"/>
    </row>
    <row r="338" spans="1:1" s="31" customFormat="1">
      <c r="A338" s="32"/>
    </row>
    <row r="339" spans="1:1" s="31" customFormat="1">
      <c r="A339" s="32"/>
    </row>
    <row r="340" spans="1:1" s="31" customFormat="1">
      <c r="A340" s="32"/>
    </row>
    <row r="341" spans="1:1" s="31" customFormat="1">
      <c r="A341" s="32"/>
    </row>
    <row r="342" spans="1:1" s="31" customFormat="1">
      <c r="A342" s="32"/>
    </row>
    <row r="343" spans="1:1" s="31" customFormat="1">
      <c r="A343" s="32"/>
    </row>
    <row r="344" spans="1:1" s="31" customFormat="1">
      <c r="A344" s="32"/>
    </row>
    <row r="345" spans="1:1" s="31" customFormat="1">
      <c r="A345" s="32"/>
    </row>
    <row r="346" spans="1:1" s="31" customFormat="1">
      <c r="A346" s="32"/>
    </row>
    <row r="347" spans="1:1" s="31" customFormat="1">
      <c r="A347" s="32"/>
    </row>
    <row r="348" spans="1:1" s="31" customFormat="1">
      <c r="A348" s="32"/>
    </row>
    <row r="349" spans="1:1" s="31" customFormat="1">
      <c r="A349" s="32"/>
    </row>
    <row r="350" spans="1:1" s="31" customFormat="1">
      <c r="A350" s="32"/>
    </row>
    <row r="351" spans="1:1" s="31" customFormat="1">
      <c r="A351" s="32"/>
    </row>
    <row r="352" spans="1:1" s="31" customFormat="1">
      <c r="A352" s="32"/>
    </row>
    <row r="353" spans="1:1" s="31" customFormat="1">
      <c r="A353" s="32"/>
    </row>
    <row r="354" spans="1:1" s="31" customFormat="1">
      <c r="A354" s="32"/>
    </row>
    <row r="355" spans="1:1" s="31" customFormat="1">
      <c r="A355" s="32"/>
    </row>
    <row r="356" spans="1:1" s="31" customFormat="1">
      <c r="A356" s="32"/>
    </row>
    <row r="357" spans="1:1" s="31" customFormat="1">
      <c r="A357" s="32"/>
    </row>
    <row r="358" spans="1:1" s="31" customFormat="1">
      <c r="A358" s="32"/>
    </row>
    <row r="359" spans="1:1" s="31" customFormat="1">
      <c r="A359" s="32"/>
    </row>
    <row r="360" spans="1:1" s="31" customFormat="1">
      <c r="A360" s="32"/>
    </row>
    <row r="361" spans="1:1" s="31" customFormat="1">
      <c r="A361" s="32"/>
    </row>
    <row r="362" spans="1:1" s="31" customFormat="1">
      <c r="A362" s="32"/>
    </row>
    <row r="363" spans="1:1" s="31" customFormat="1">
      <c r="A363" s="32"/>
    </row>
    <row r="364" spans="1:1" s="31" customFormat="1">
      <c r="A364" s="32"/>
    </row>
    <row r="365" spans="1:1" s="31" customFormat="1">
      <c r="A365" s="32"/>
    </row>
    <row r="366" spans="1:1" s="31" customFormat="1">
      <c r="A366" s="32"/>
    </row>
    <row r="367" spans="1:1" s="31" customFormat="1">
      <c r="A367" s="32"/>
    </row>
    <row r="368" spans="1:1" s="31" customFormat="1">
      <c r="A368" s="32"/>
    </row>
    <row r="369" spans="1:1" s="31" customFormat="1">
      <c r="A369" s="32"/>
    </row>
    <row r="370" spans="1:1" s="31" customFormat="1">
      <c r="A370" s="32"/>
    </row>
    <row r="371" spans="1:1" s="31" customFormat="1">
      <c r="A371" s="32"/>
    </row>
    <row r="372" spans="1:1" s="31" customFormat="1">
      <c r="A372" s="32"/>
    </row>
    <row r="373" spans="1:1" s="31" customFormat="1">
      <c r="A373" s="32"/>
    </row>
    <row r="374" spans="1:1" s="31" customFormat="1">
      <c r="A374" s="32"/>
    </row>
    <row r="375" spans="1:1" s="31" customFormat="1">
      <c r="A375" s="32"/>
    </row>
    <row r="376" spans="1:1" s="31" customFormat="1">
      <c r="A376" s="32"/>
    </row>
    <row r="377" spans="1:1" s="31" customFormat="1">
      <c r="A377" s="32"/>
    </row>
    <row r="378" spans="1:1" s="31" customFormat="1">
      <c r="A378" s="32"/>
    </row>
    <row r="379" spans="1:1" s="31" customFormat="1">
      <c r="A379" s="32"/>
    </row>
    <row r="380" spans="1:1" s="31" customFormat="1">
      <c r="A380" s="32"/>
    </row>
    <row r="381" spans="1:1" s="31" customFormat="1">
      <c r="A381" s="32"/>
    </row>
    <row r="382" spans="1:1" s="31" customFormat="1">
      <c r="A382" s="32"/>
    </row>
    <row r="383" spans="1:1" s="31" customFormat="1">
      <c r="A383" s="32"/>
    </row>
    <row r="384" spans="1:1" s="31" customFormat="1">
      <c r="A384" s="32"/>
    </row>
    <row r="385" spans="1:1" s="31" customFormat="1">
      <c r="A385" s="32"/>
    </row>
    <row r="386" spans="1:1" s="31" customFormat="1">
      <c r="A386" s="32"/>
    </row>
    <row r="387" spans="1:1" s="31" customFormat="1">
      <c r="A387" s="32"/>
    </row>
    <row r="388" spans="1:1" s="31" customFormat="1">
      <c r="A388" s="32"/>
    </row>
    <row r="389" spans="1:1" s="31" customFormat="1">
      <c r="A389" s="32"/>
    </row>
    <row r="390" spans="1:1" s="31" customFormat="1">
      <c r="A390" s="32"/>
    </row>
    <row r="391" spans="1:1" s="31" customFormat="1">
      <c r="A391" s="32"/>
    </row>
    <row r="392" spans="1:1" s="31" customFormat="1">
      <c r="A392" s="32"/>
    </row>
    <row r="393" spans="1:1" s="31" customFormat="1">
      <c r="A393" s="32"/>
    </row>
    <row r="394" spans="1:1" s="31" customFormat="1">
      <c r="A394" s="32"/>
    </row>
    <row r="395" spans="1:1" s="31" customFormat="1">
      <c r="A395" s="32"/>
    </row>
    <row r="396" spans="1:1" s="31" customFormat="1">
      <c r="A396" s="32"/>
    </row>
    <row r="397" spans="1:1" s="31" customFormat="1">
      <c r="A397" s="32"/>
    </row>
    <row r="398" spans="1:1" s="31" customFormat="1">
      <c r="A398" s="32"/>
    </row>
    <row r="399" spans="1:1" s="31" customFormat="1">
      <c r="A399" s="32"/>
    </row>
    <row r="400" spans="1:1" s="31" customFormat="1">
      <c r="A400" s="32"/>
    </row>
    <row r="401" spans="1:1" s="31" customFormat="1">
      <c r="A401" s="32"/>
    </row>
    <row r="402" spans="1:1" s="31" customFormat="1">
      <c r="A402" s="32"/>
    </row>
    <row r="403" spans="1:1" s="31" customFormat="1">
      <c r="A403" s="32"/>
    </row>
    <row r="404" spans="1:1" s="31" customFormat="1">
      <c r="A404" s="32"/>
    </row>
    <row r="405" spans="1:1" s="31" customFormat="1">
      <c r="A405" s="32"/>
    </row>
    <row r="406" spans="1:1" s="31" customFormat="1">
      <c r="A406" s="32"/>
    </row>
    <row r="407" spans="1:1" s="31" customFormat="1">
      <c r="A407" s="32"/>
    </row>
    <row r="408" spans="1:1" s="31" customFormat="1">
      <c r="A408" s="32"/>
    </row>
    <row r="409" spans="1:1" s="31" customFormat="1">
      <c r="A409" s="32"/>
    </row>
    <row r="410" spans="1:1" s="31" customFormat="1">
      <c r="A410" s="32"/>
    </row>
    <row r="411" spans="1:1" s="31" customFormat="1">
      <c r="A411" s="32"/>
    </row>
    <row r="412" spans="1:1" s="31" customFormat="1">
      <c r="A412" s="32"/>
    </row>
    <row r="413" spans="1:1" s="31" customFormat="1">
      <c r="A413" s="32"/>
    </row>
    <row r="414" spans="1:1" s="31" customFormat="1">
      <c r="A414" s="32"/>
    </row>
    <row r="415" spans="1:1" s="31" customFormat="1">
      <c r="A415" s="32"/>
    </row>
    <row r="416" spans="1:1" s="31" customFormat="1">
      <c r="A416" s="32"/>
    </row>
    <row r="417" spans="1:1" s="31" customFormat="1">
      <c r="A417" s="32"/>
    </row>
    <row r="418" spans="1:1" s="31" customFormat="1">
      <c r="A418" s="32"/>
    </row>
    <row r="419" spans="1:1" s="31" customFormat="1">
      <c r="A419" s="32"/>
    </row>
    <row r="420" spans="1:1" s="31" customFormat="1">
      <c r="A420" s="32"/>
    </row>
    <row r="421" spans="1:1" s="31" customFormat="1">
      <c r="A421" s="32"/>
    </row>
    <row r="422" spans="1:1" s="31" customFormat="1">
      <c r="A422" s="32"/>
    </row>
    <row r="423" spans="1:1" s="31" customFormat="1">
      <c r="A423" s="32"/>
    </row>
    <row r="424" spans="1:1" s="31" customFormat="1">
      <c r="A424" s="32"/>
    </row>
    <row r="425" spans="1:1" s="31" customFormat="1">
      <c r="A425" s="32"/>
    </row>
    <row r="426" spans="1:1" s="31" customFormat="1">
      <c r="A426" s="32"/>
    </row>
    <row r="427" spans="1:1" s="31" customFormat="1">
      <c r="A427" s="32"/>
    </row>
    <row r="428" spans="1:1" s="31" customFormat="1">
      <c r="A428" s="32"/>
    </row>
    <row r="429" spans="1:1" s="31" customFormat="1">
      <c r="A429" s="32"/>
    </row>
    <row r="430" spans="1:1" s="31" customFormat="1">
      <c r="A430" s="32"/>
    </row>
    <row r="431" spans="1:1" s="31" customFormat="1">
      <c r="A431" s="32"/>
    </row>
    <row r="432" spans="1:1" s="31" customFormat="1">
      <c r="A432" s="32"/>
    </row>
    <row r="433" spans="1:1" s="31" customFormat="1">
      <c r="A433" s="32"/>
    </row>
    <row r="434" spans="1:1" s="31" customFormat="1">
      <c r="A434" s="32"/>
    </row>
    <row r="435" spans="1:1" s="31" customFormat="1">
      <c r="A435" s="32"/>
    </row>
    <row r="436" spans="1:1" s="31" customFormat="1">
      <c r="A436" s="32"/>
    </row>
    <row r="437" spans="1:1" s="31" customFormat="1">
      <c r="A437" s="32"/>
    </row>
    <row r="438" spans="1:1" s="31" customFormat="1">
      <c r="A438" s="32"/>
    </row>
    <row r="439" spans="1:1" s="31" customFormat="1">
      <c r="A439" s="32"/>
    </row>
    <row r="440" spans="1:1" s="31" customFormat="1">
      <c r="A440" s="32"/>
    </row>
    <row r="441" spans="1:1" s="31" customFormat="1">
      <c r="A441" s="32"/>
    </row>
    <row r="442" spans="1:1" s="31" customFormat="1">
      <c r="A442" s="32"/>
    </row>
    <row r="443" spans="1:1" s="31" customFormat="1">
      <c r="A443" s="32"/>
    </row>
    <row r="444" spans="1:1" s="31" customFormat="1">
      <c r="A444" s="32"/>
    </row>
    <row r="445" spans="1:1" s="31" customFormat="1">
      <c r="A445" s="32"/>
    </row>
    <row r="446" spans="1:1" s="31" customFormat="1">
      <c r="A446" s="32"/>
    </row>
    <row r="447" spans="1:1" s="31" customFormat="1">
      <c r="A447" s="32"/>
    </row>
    <row r="448" spans="1:1" s="31" customFormat="1">
      <c r="A448" s="32"/>
    </row>
    <row r="449" spans="1:1" s="31" customFormat="1">
      <c r="A449" s="32"/>
    </row>
    <row r="450" spans="1:1" s="31" customFormat="1">
      <c r="A450" s="32"/>
    </row>
    <row r="451" spans="1:1" s="31" customFormat="1">
      <c r="A451" s="32"/>
    </row>
    <row r="452" spans="1:1" s="31" customFormat="1">
      <c r="A452" s="32"/>
    </row>
    <row r="453" spans="1:1" s="31" customFormat="1">
      <c r="A453" s="32"/>
    </row>
    <row r="454" spans="1:1" s="31" customFormat="1">
      <c r="A454" s="32"/>
    </row>
    <row r="455" spans="1:1" s="31" customFormat="1">
      <c r="A455" s="32"/>
    </row>
    <row r="456" spans="1:1" s="31" customFormat="1">
      <c r="A456" s="32"/>
    </row>
    <row r="457" spans="1:1" s="31" customFormat="1">
      <c r="A457" s="32"/>
    </row>
    <row r="458" spans="1:1" s="31" customFormat="1">
      <c r="A458" s="32"/>
    </row>
    <row r="459" spans="1:1" s="31" customFormat="1">
      <c r="A459" s="32"/>
    </row>
    <row r="460" spans="1:1" s="31" customFormat="1">
      <c r="A460" s="32"/>
    </row>
    <row r="461" spans="1:1" s="31" customFormat="1">
      <c r="A461" s="32"/>
    </row>
    <row r="462" spans="1:1" s="31" customFormat="1">
      <c r="A462" s="32"/>
    </row>
    <row r="463" spans="1:1" s="31" customFormat="1">
      <c r="A463" s="32"/>
    </row>
    <row r="464" spans="1:1" s="31" customFormat="1">
      <c r="A464" s="32"/>
    </row>
    <row r="465" spans="1:1" s="31" customFormat="1">
      <c r="A465" s="32"/>
    </row>
    <row r="466" spans="1:1" s="31" customFormat="1">
      <c r="A466" s="32"/>
    </row>
    <row r="467" spans="1:1" s="31" customFormat="1">
      <c r="A467" s="32"/>
    </row>
    <row r="468" spans="1:1" s="31" customFormat="1">
      <c r="A468" s="32"/>
    </row>
    <row r="469" spans="1:1" s="31" customFormat="1">
      <c r="A469" s="32"/>
    </row>
    <row r="470" spans="1:1" s="31" customFormat="1">
      <c r="A470" s="32"/>
    </row>
    <row r="471" spans="1:1" s="31" customFormat="1">
      <c r="A471" s="32"/>
    </row>
    <row r="472" spans="1:1" s="31" customFormat="1">
      <c r="A472" s="32"/>
    </row>
    <row r="473" spans="1:1" s="31" customFormat="1">
      <c r="A473" s="32"/>
    </row>
    <row r="474" spans="1:1" s="31" customFormat="1">
      <c r="A474" s="32"/>
    </row>
    <row r="475" spans="1:1" s="31" customFormat="1">
      <c r="A475" s="32"/>
    </row>
    <row r="476" spans="1:1" s="31" customFormat="1">
      <c r="A476" s="32"/>
    </row>
    <row r="477" spans="1:1" s="31" customFormat="1">
      <c r="A477" s="32"/>
    </row>
    <row r="478" spans="1:1" s="31" customFormat="1">
      <c r="A478" s="32"/>
    </row>
    <row r="479" spans="1:1" s="31" customFormat="1">
      <c r="A479" s="32"/>
    </row>
    <row r="480" spans="1:1" s="31" customFormat="1">
      <c r="A480" s="32"/>
    </row>
    <row r="481" spans="1:1" s="31" customFormat="1">
      <c r="A481" s="32"/>
    </row>
    <row r="482" spans="1:1" s="31" customFormat="1">
      <c r="A482" s="32"/>
    </row>
    <row r="483" spans="1:1" s="31" customFormat="1">
      <c r="A483" s="32"/>
    </row>
    <row r="484" spans="1:1" s="31" customFormat="1">
      <c r="A484" s="32"/>
    </row>
    <row r="485" spans="1:1" s="31" customFormat="1">
      <c r="A485" s="32"/>
    </row>
    <row r="486" spans="1:1" s="31" customFormat="1">
      <c r="A486" s="32"/>
    </row>
    <row r="487" spans="1:1" s="31" customFormat="1">
      <c r="A487" s="32"/>
    </row>
    <row r="488" spans="1:1" s="31" customFormat="1">
      <c r="A488" s="32"/>
    </row>
    <row r="489" spans="1:1" s="31" customFormat="1">
      <c r="A489" s="32"/>
    </row>
    <row r="490" spans="1:1" s="31" customFormat="1">
      <c r="A490" s="32"/>
    </row>
    <row r="491" spans="1:1" s="31" customFormat="1">
      <c r="A491" s="32"/>
    </row>
    <row r="492" spans="1:1" s="31" customFormat="1">
      <c r="A492" s="32"/>
    </row>
    <row r="493" spans="1:1" s="31" customFormat="1">
      <c r="A493" s="32"/>
    </row>
    <row r="494" spans="1:1" s="31" customFormat="1">
      <c r="A494" s="32"/>
    </row>
    <row r="495" spans="1:1" s="31" customFormat="1">
      <c r="A495" s="32"/>
    </row>
    <row r="496" spans="1:1" s="31" customFormat="1">
      <c r="A496" s="32"/>
    </row>
    <row r="497" spans="1:1" s="31" customFormat="1">
      <c r="A497" s="32"/>
    </row>
    <row r="498" spans="1:1" s="31" customFormat="1">
      <c r="A498" s="32"/>
    </row>
    <row r="499" spans="1:1" s="31" customFormat="1">
      <c r="A499" s="32"/>
    </row>
    <row r="500" spans="1:1" s="31" customFormat="1">
      <c r="A500" s="32"/>
    </row>
    <row r="501" spans="1:1" s="31" customFormat="1">
      <c r="A501" s="32"/>
    </row>
    <row r="502" spans="1:1" s="31" customFormat="1">
      <c r="A502" s="32"/>
    </row>
    <row r="503" spans="1:1" s="31" customFormat="1">
      <c r="A503" s="32"/>
    </row>
    <row r="504" spans="1:1" s="31" customFormat="1">
      <c r="A504" s="32"/>
    </row>
    <row r="505" spans="1:1" s="31" customFormat="1">
      <c r="A505" s="32"/>
    </row>
    <row r="506" spans="1:1" s="31" customFormat="1">
      <c r="A506" s="32"/>
    </row>
    <row r="507" spans="1:1" s="31" customFormat="1">
      <c r="A507" s="32"/>
    </row>
    <row r="508" spans="1:1" s="31" customFormat="1">
      <c r="A508" s="32"/>
    </row>
    <row r="509" spans="1:1" s="31" customFormat="1">
      <c r="A509" s="32"/>
    </row>
    <row r="510" spans="1:1" s="31" customFormat="1">
      <c r="A510" s="32"/>
    </row>
    <row r="511" spans="1:1" s="31" customFormat="1">
      <c r="A511" s="32"/>
    </row>
    <row r="512" spans="1:1" s="31" customFormat="1">
      <c r="A512" s="32"/>
    </row>
    <row r="513" spans="1:1" s="31" customFormat="1">
      <c r="A513" s="32"/>
    </row>
    <row r="514" spans="1:1" s="31" customFormat="1">
      <c r="A514" s="32"/>
    </row>
    <row r="515" spans="1:1" s="31" customFormat="1">
      <c r="A515" s="32"/>
    </row>
    <row r="516" spans="1:1" s="31" customFormat="1">
      <c r="A516" s="32"/>
    </row>
    <row r="517" spans="1:1" s="31" customFormat="1">
      <c r="A517" s="32"/>
    </row>
    <row r="518" spans="1:1" s="31" customFormat="1">
      <c r="A518" s="32"/>
    </row>
    <row r="519" spans="1:1" s="31" customFormat="1">
      <c r="A519" s="32"/>
    </row>
    <row r="520" spans="1:1" s="31" customFormat="1">
      <c r="A520" s="32"/>
    </row>
    <row r="521" spans="1:1" s="31" customFormat="1">
      <c r="A521" s="32"/>
    </row>
    <row r="522" spans="1:1" s="31" customFormat="1">
      <c r="A522" s="32"/>
    </row>
    <row r="523" spans="1:1" s="31" customFormat="1">
      <c r="A523" s="32"/>
    </row>
    <row r="524" spans="1:1" s="31" customFormat="1">
      <c r="A524" s="32"/>
    </row>
    <row r="525" spans="1:1" s="31" customFormat="1">
      <c r="A525" s="32"/>
    </row>
    <row r="526" spans="1:1" s="31" customFormat="1">
      <c r="A526" s="32"/>
    </row>
    <row r="527" spans="1:1" s="31" customFormat="1">
      <c r="A527" s="32"/>
    </row>
    <row r="528" spans="1:1" s="31" customFormat="1">
      <c r="A528" s="32"/>
    </row>
    <row r="529" spans="1:1" s="31" customFormat="1">
      <c r="A529" s="32"/>
    </row>
    <row r="530" spans="1:1" s="31" customFormat="1">
      <c r="A530" s="32"/>
    </row>
    <row r="531" spans="1:1" s="31" customFormat="1">
      <c r="A531" s="32"/>
    </row>
    <row r="532" spans="1:1" s="31" customFormat="1">
      <c r="A532" s="32"/>
    </row>
    <row r="533" spans="1:1" s="31" customFormat="1">
      <c r="A533" s="32"/>
    </row>
    <row r="534" spans="1:1" s="31" customFormat="1">
      <c r="A534" s="32"/>
    </row>
    <row r="535" spans="1:1" s="31" customFormat="1">
      <c r="A535" s="32"/>
    </row>
    <row r="536" spans="1:1" s="31" customFormat="1">
      <c r="A536" s="32"/>
    </row>
    <row r="537" spans="1:1" s="31" customFormat="1">
      <c r="A537" s="32"/>
    </row>
    <row r="538" spans="1:1" s="31" customFormat="1">
      <c r="A538" s="32"/>
    </row>
    <row r="539" spans="1:1" s="31" customFormat="1">
      <c r="A539" s="32"/>
    </row>
    <row r="540" spans="1:1" s="31" customFormat="1">
      <c r="A540" s="32"/>
    </row>
    <row r="541" spans="1:1" s="31" customFormat="1">
      <c r="A541" s="32"/>
    </row>
    <row r="542" spans="1:1" s="31" customFormat="1">
      <c r="A542" s="32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</vt:lpstr>
      <vt:lpstr>CALCULOS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</dc:creator>
  <cp:lastModifiedBy>Vitor Dvic</cp:lastModifiedBy>
  <dcterms:created xsi:type="dcterms:W3CDTF">2015-06-05T18:19:34Z</dcterms:created>
  <dcterms:modified xsi:type="dcterms:W3CDTF">2026-01-13T16:43:38Z</dcterms:modified>
</cp:coreProperties>
</file>