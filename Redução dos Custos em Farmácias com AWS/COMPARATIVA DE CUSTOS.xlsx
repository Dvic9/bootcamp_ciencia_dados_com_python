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ichau\Desktop\"/>
    </mc:Choice>
  </mc:AlternateContent>
  <xr:revisionPtr revIDLastSave="0" documentId="13_ncr:1_{610085A7-200F-4ABE-A441-F80898203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1" l="1"/>
  <c r="B28" i="1"/>
  <c r="B27" i="1"/>
  <c r="B26" i="1"/>
  <c r="E20" i="1"/>
  <c r="E15" i="1"/>
  <c r="E16" i="1"/>
  <c r="E17" i="1"/>
  <c r="E18" i="1"/>
  <c r="E19" i="1"/>
  <c r="E14" i="1"/>
  <c r="E8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<sst xmlns="http://schemas.openxmlformats.org/spreadsheetml/2006/main" count="42" uniqueCount="35">
  <si>
    <t>Item de Custo</t>
  </si>
  <si>
    <t>Descrição</t>
  </si>
  <si>
    <t>Custo Unitário / Mensal</t>
  </si>
  <si>
    <t>Custo Total em 3 Anos (36 meses)</t>
  </si>
  <si>
    <t>Servidores (Hardware)</t>
  </si>
  <si>
    <t>Aquisição de 2 Servidores (Vida útil 5 anos)</t>
  </si>
  <si>
    <t>Licenças de Software</t>
  </si>
  <si>
    <t>Windows Server + Banco de Dados (Pagamento Único)</t>
  </si>
  <si>
    <t>Energia Elétrica</t>
  </si>
  <si>
    <t>Consumo dos servidores 24h/7 dias</t>
  </si>
  <si>
    <t>Refrigeração (Ar Cond.)</t>
  </si>
  <si>
    <t>Sala de servidores (Energia + Manutenção do Ar)</t>
  </si>
  <si>
    <t>Manutenção de Hardware</t>
  </si>
  <si>
    <t>Troca de peças, discos queimados, visitas técnicas</t>
  </si>
  <si>
    <t>Backup Físico</t>
  </si>
  <si>
    <t>Fitas LTO ou HDs Externos (troca periódica)</t>
  </si>
  <si>
    <t>TOTAL CUMULATIVO</t>
  </si>
  <si>
    <t>Periodicidade (em meses)</t>
  </si>
  <si>
    <t>Custo Mensal Estimado</t>
  </si>
  <si>
    <t>Amazon EC2</t>
  </si>
  <si>
    <t>Instâncias reservadas (Servidores Virtuais)</t>
  </si>
  <si>
    <t>Amazon RDS</t>
  </si>
  <si>
    <t>Banco de dados gerenciado (Incluso licença)</t>
  </si>
  <si>
    <t>Amazon S3</t>
  </si>
  <si>
    <t>Armazenamento de Backup e Arquivos</t>
  </si>
  <si>
    <t>Custo transferido para a AWS (Zero para a empresa)</t>
  </si>
  <si>
    <t>Refrigeração</t>
  </si>
  <si>
    <t>Manutenção Hardware</t>
  </si>
  <si>
    <t>Responsabilidade da AWS</t>
  </si>
  <si>
    <t>Indicador</t>
  </si>
  <si>
    <t>Valor</t>
  </si>
  <si>
    <t>Custo Total Físico (3 Anos)</t>
  </si>
  <si>
    <t>Custo Total AWS (3 Anos)</t>
  </si>
  <si>
    <t>ECONOMIA TOTAL</t>
  </si>
  <si>
    <t>Redução 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</si>
</sst>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9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</cellStyleXfs>
  <cellXfs count="21">
    <xf numFmtId="0" fontId="0" fillId="0" borderId="0" xfId="0"/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8" fontId="0" fillId="0" borderId="2" xfId="0" applyNumberFormat="1" applyBorder="1" applyAlignment="1">
      <alignment vertical="center" wrapText="1"/>
    </xf>
    <xf numFmtId="0" fontId="1" fillId="4" borderId="2" xfId="3" applyBorder="1" applyAlignment="1">
      <alignment vertical="center" wrapText="1"/>
    </xf>
    <xf numFmtId="0" fontId="2" fillId="3" borderId="2" xfId="2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9" fontId="1" fillId="0" borderId="2" xfId="0" applyNumberFormat="1" applyFont="1" applyBorder="1" applyAlignment="1">
      <alignment horizontal="center" vertical="center" wrapText="1"/>
    </xf>
    <xf numFmtId="8" fontId="1" fillId="0" borderId="2" xfId="0" applyNumberFormat="1" applyFont="1" applyBorder="1" applyAlignment="1">
      <alignment horizontal="center" vertical="center" wrapText="1"/>
    </xf>
    <xf numFmtId="0" fontId="2" fillId="2" borderId="0" xfId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3" fillId="4" borderId="2" xfId="3" applyFont="1" applyBorder="1" applyAlignment="1">
      <alignment horizontal="center" vertical="center" wrapText="1"/>
    </xf>
    <xf numFmtId="8" fontId="3" fillId="0" borderId="3" xfId="0" applyNumberFormat="1" applyFont="1" applyBorder="1" applyAlignment="1">
      <alignment vertical="center" wrapText="1"/>
    </xf>
    <xf numFmtId="8" fontId="3" fillId="0" borderId="3" xfId="0" applyNumberFormat="1" applyFont="1" applyBorder="1" applyAlignment="1">
      <alignment horizontal="center" vertical="center" wrapText="1"/>
    </xf>
    <xf numFmtId="0" fontId="4" fillId="3" borderId="3" xfId="2" applyBorder="1" applyAlignment="1">
      <alignment vertical="center" wrapText="1"/>
    </xf>
    <xf numFmtId="169" fontId="0" fillId="0" borderId="2" xfId="0" applyNumberFormat="1" applyBorder="1" applyAlignment="1">
      <alignment vertical="center" wrapText="1"/>
    </xf>
    <xf numFmtId="0" fontId="3" fillId="6" borderId="2" xfId="5" applyFont="1" applyBorder="1" applyAlignment="1">
      <alignment vertical="center" wrapText="1"/>
    </xf>
    <xf numFmtId="8" fontId="1" fillId="6" borderId="2" xfId="5" applyNumberFormat="1" applyBorder="1" applyAlignment="1">
      <alignment vertical="center" wrapText="1"/>
    </xf>
    <xf numFmtId="0" fontId="3" fillId="5" borderId="2" xfId="4" applyFont="1" applyBorder="1" applyAlignment="1">
      <alignment vertical="center" wrapText="1"/>
    </xf>
    <xf numFmtId="10" fontId="1" fillId="5" borderId="2" xfId="4" applyNumberFormat="1" applyFont="1" applyBorder="1" applyAlignment="1">
      <alignment vertical="center" wrapText="1"/>
    </xf>
  </cellXfs>
  <cellStyles count="6">
    <cellStyle name="40% - Ênfase5" xfId="3" builtinId="47"/>
    <cellStyle name="60% - Ênfase6" xfId="5" builtinId="52"/>
    <cellStyle name="Célula de Verificação" xfId="1" builtinId="23"/>
    <cellStyle name="Ênfase5" xfId="2" builtinId="45"/>
    <cellStyle name="Ênfase6" xfId="4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C27" sqref="C27"/>
    </sheetView>
  </sheetViews>
  <sheetFormatPr defaultRowHeight="15" x14ac:dyDescent="0.25"/>
  <cols>
    <col min="1" max="1" width="24" customWidth="1"/>
    <col min="2" max="2" width="26.85546875" customWidth="1"/>
    <col min="3" max="4" width="33.28515625" customWidth="1"/>
    <col min="5" max="5" width="32.85546875" customWidth="1"/>
  </cols>
  <sheetData>
    <row r="1" spans="1:5" ht="15" customHeight="1" x14ac:dyDescent="0.25">
      <c r="A1" s="5" t="s">
        <v>0</v>
      </c>
      <c r="B1" s="5" t="s">
        <v>1</v>
      </c>
      <c r="C1" s="5" t="s">
        <v>2</v>
      </c>
      <c r="D1" s="5" t="s">
        <v>17</v>
      </c>
      <c r="E1" s="5" t="s">
        <v>3</v>
      </c>
    </row>
    <row r="2" spans="1:5" ht="15" customHeight="1" x14ac:dyDescent="0.25">
      <c r="A2" s="12" t="s">
        <v>4</v>
      </c>
      <c r="B2" s="6" t="s">
        <v>5</v>
      </c>
      <c r="C2" s="7">
        <v>45000</v>
      </c>
      <c r="D2" s="6">
        <v>1</v>
      </c>
      <c r="E2" s="8">
        <f>C2*D2</f>
        <v>45000</v>
      </c>
    </row>
    <row r="3" spans="1:5" ht="15" customHeight="1" x14ac:dyDescent="0.25">
      <c r="A3" s="12" t="s">
        <v>6</v>
      </c>
      <c r="B3" s="6" t="s">
        <v>7</v>
      </c>
      <c r="C3" s="7">
        <v>15000</v>
      </c>
      <c r="D3" s="6">
        <v>1</v>
      </c>
      <c r="E3" s="8">
        <f t="shared" ref="E3:E7" si="0">C3*D3</f>
        <v>15000</v>
      </c>
    </row>
    <row r="4" spans="1:5" ht="15" customHeight="1" x14ac:dyDescent="0.25">
      <c r="A4" s="12" t="s">
        <v>8</v>
      </c>
      <c r="B4" s="6" t="s">
        <v>9</v>
      </c>
      <c r="C4" s="7">
        <v>600</v>
      </c>
      <c r="D4" s="6">
        <v>36</v>
      </c>
      <c r="E4" s="8">
        <f t="shared" si="0"/>
        <v>21600</v>
      </c>
    </row>
    <row r="5" spans="1:5" ht="15" customHeight="1" x14ac:dyDescent="0.25">
      <c r="A5" s="12" t="s">
        <v>10</v>
      </c>
      <c r="B5" s="6" t="s">
        <v>11</v>
      </c>
      <c r="C5" s="7">
        <v>400</v>
      </c>
      <c r="D5" s="6">
        <v>36</v>
      </c>
      <c r="E5" s="8">
        <f t="shared" si="0"/>
        <v>14400</v>
      </c>
    </row>
    <row r="6" spans="1:5" ht="15" customHeight="1" x14ac:dyDescent="0.25">
      <c r="A6" s="12" t="s">
        <v>12</v>
      </c>
      <c r="B6" s="6" t="s">
        <v>13</v>
      </c>
      <c r="C6" s="7">
        <v>500</v>
      </c>
      <c r="D6" s="6">
        <v>36</v>
      </c>
      <c r="E6" s="8">
        <f t="shared" si="0"/>
        <v>18000</v>
      </c>
    </row>
    <row r="7" spans="1:5" ht="15" customHeight="1" x14ac:dyDescent="0.25">
      <c r="A7" s="12" t="s">
        <v>14</v>
      </c>
      <c r="B7" s="6" t="s">
        <v>15</v>
      </c>
      <c r="C7" s="7">
        <v>200</v>
      </c>
      <c r="D7" s="6">
        <v>36</v>
      </c>
      <c r="E7" s="8">
        <f t="shared" si="0"/>
        <v>7200</v>
      </c>
    </row>
    <row r="8" spans="1:5" ht="15" customHeight="1" x14ac:dyDescent="0.25">
      <c r="A8" s="5" t="s">
        <v>16</v>
      </c>
      <c r="B8" s="9"/>
      <c r="C8" s="9"/>
      <c r="D8" s="9"/>
      <c r="E8" s="14">
        <f>SUM(E2:E7)</f>
        <v>121200</v>
      </c>
    </row>
    <row r="13" spans="1:5" ht="15" customHeight="1" x14ac:dyDescent="0.25">
      <c r="A13" s="5" t="s">
        <v>0</v>
      </c>
      <c r="B13" s="5" t="s">
        <v>1</v>
      </c>
      <c r="C13" s="5" t="s">
        <v>18</v>
      </c>
      <c r="D13" s="5" t="s">
        <v>17</v>
      </c>
      <c r="E13" s="5" t="s">
        <v>3</v>
      </c>
    </row>
    <row r="14" spans="1:5" ht="15" customHeight="1" x14ac:dyDescent="0.25">
      <c r="A14" s="4" t="s">
        <v>19</v>
      </c>
      <c r="B14" s="2" t="s">
        <v>20</v>
      </c>
      <c r="C14" s="16">
        <v>1200</v>
      </c>
      <c r="D14" s="6">
        <v>36</v>
      </c>
      <c r="E14" s="8">
        <f>C14*D14</f>
        <v>43200</v>
      </c>
    </row>
    <row r="15" spans="1:5" ht="15" customHeight="1" x14ac:dyDescent="0.25">
      <c r="A15" s="4" t="s">
        <v>21</v>
      </c>
      <c r="B15" s="2" t="s">
        <v>22</v>
      </c>
      <c r="C15" s="16">
        <v>600</v>
      </c>
      <c r="D15" s="6">
        <v>36</v>
      </c>
      <c r="E15" s="8">
        <f t="shared" ref="E15:E19" si="1">C15*D15</f>
        <v>21600</v>
      </c>
    </row>
    <row r="16" spans="1:5" ht="15" customHeight="1" x14ac:dyDescent="0.25">
      <c r="A16" s="4" t="s">
        <v>23</v>
      </c>
      <c r="B16" s="2" t="s">
        <v>24</v>
      </c>
      <c r="C16" s="16">
        <v>150</v>
      </c>
      <c r="D16" s="6">
        <v>36</v>
      </c>
      <c r="E16" s="8">
        <f t="shared" si="1"/>
        <v>5400</v>
      </c>
    </row>
    <row r="17" spans="1:5" ht="15" customHeight="1" x14ac:dyDescent="0.25">
      <c r="A17" s="4" t="s">
        <v>8</v>
      </c>
      <c r="B17" s="2" t="s">
        <v>25</v>
      </c>
      <c r="C17" s="16">
        <v>0</v>
      </c>
      <c r="D17" s="6">
        <v>36</v>
      </c>
      <c r="E17" s="8">
        <f t="shared" si="1"/>
        <v>0</v>
      </c>
    </row>
    <row r="18" spans="1:5" ht="15" customHeight="1" x14ac:dyDescent="0.25">
      <c r="A18" s="4" t="s">
        <v>26</v>
      </c>
      <c r="B18" s="2" t="s">
        <v>25</v>
      </c>
      <c r="C18" s="16">
        <v>0</v>
      </c>
      <c r="D18" s="6">
        <v>36</v>
      </c>
      <c r="E18" s="8">
        <f t="shared" si="1"/>
        <v>0</v>
      </c>
    </row>
    <row r="19" spans="1:5" ht="15" customHeight="1" x14ac:dyDescent="0.25">
      <c r="A19" s="4" t="s">
        <v>27</v>
      </c>
      <c r="B19" s="2" t="s">
        <v>28</v>
      </c>
      <c r="C19" s="16">
        <v>0</v>
      </c>
      <c r="D19" s="6">
        <v>36</v>
      </c>
      <c r="E19" s="8">
        <f t="shared" si="1"/>
        <v>0</v>
      </c>
    </row>
    <row r="20" spans="1:5" ht="15" customHeight="1" x14ac:dyDescent="0.25">
      <c r="A20" s="15" t="s">
        <v>16</v>
      </c>
      <c r="B20" s="10"/>
      <c r="C20" s="10"/>
      <c r="D20" s="11"/>
      <c r="E20" s="13">
        <f>SUM(E14:E19)</f>
        <v>70200</v>
      </c>
    </row>
    <row r="21" spans="1:5" ht="15" customHeight="1" x14ac:dyDescent="0.25"/>
    <row r="25" spans="1:5" ht="15" customHeight="1" x14ac:dyDescent="0.25">
      <c r="A25" s="5" t="s">
        <v>29</v>
      </c>
      <c r="B25" s="5" t="s">
        <v>30</v>
      </c>
    </row>
    <row r="26" spans="1:5" ht="15" customHeight="1" x14ac:dyDescent="0.25">
      <c r="A26" s="1" t="s">
        <v>31</v>
      </c>
      <c r="B26" s="3">
        <f>E8</f>
        <v>121200</v>
      </c>
    </row>
    <row r="27" spans="1:5" ht="15" customHeight="1" x14ac:dyDescent="0.25">
      <c r="A27" s="1" t="s">
        <v>32</v>
      </c>
      <c r="B27" s="3">
        <f>E20</f>
        <v>70200</v>
      </c>
    </row>
    <row r="28" spans="1:5" ht="15" customHeight="1" x14ac:dyDescent="0.25">
      <c r="A28" s="17" t="s">
        <v>33</v>
      </c>
      <c r="B28" s="18">
        <f>B26-B27</f>
        <v>51000</v>
      </c>
    </row>
    <row r="29" spans="1:5" ht="15" customHeight="1" x14ac:dyDescent="0.25">
      <c r="A29" s="19" t="s">
        <v>34</v>
      </c>
      <c r="B29" s="20">
        <f>(B26-B27)/B26</f>
        <v>0.42079207920792078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</dc:creator>
  <cp:lastModifiedBy>Vitor Dvic</cp:lastModifiedBy>
  <dcterms:created xsi:type="dcterms:W3CDTF">2015-06-05T18:19:34Z</dcterms:created>
  <dcterms:modified xsi:type="dcterms:W3CDTF">2026-01-13T18:12:31Z</dcterms:modified>
</cp:coreProperties>
</file>